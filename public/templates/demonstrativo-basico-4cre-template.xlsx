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1.xml" ContentType="application/vnd.openxmlformats-officedocument.spreadsheetml.worksheet+xml"/>
  <Override PartName="/xl/worksheets/sheet13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38620" windowHeight="21100"/>
  </bookViews>
  <sheets>
    <sheet sheetId="21" name="MEMORIA" state="visible" r:id="rId4"/>
    <sheet sheetId="13" name="Demonstrativo" state="visible" r:id="rId5"/>
    <sheet sheetId="20" name="Conciliação Bancária" state="visible" r:id="rId6"/>
  </sheets>
  <definedNames>
    <definedName name="_xlnm._FilterDatabase">BASE!$A$1:$G$164</definedName>
    <definedName name="_xlnm.Print_Area" localSheetId="0">'MEMORIA'!$A1:$J53</definedName>
  </definedNames>
  <calcPr calcId="171027"/>
</workbook>
</file>

<file path=xl/sharedStrings.xml><?xml version="1.0" encoding="utf-8"?>
<sst xmlns="http://schemas.openxmlformats.org/spreadsheetml/2006/main" count="254" uniqueCount="131">
  <si>
    <t>MEMÓRIA DE CALCULO PDDE BÁSICO</t>
  </si>
  <si>
    <t>CEC DO/A</t>
  </si>
  <si>
    <t>CNPJ:</t>
  </si>
  <si>
    <t>Endereço:</t>
  </si>
  <si>
    <t>Agência</t>
  </si>
  <si>
    <t>Conta corrente:</t>
  </si>
  <si>
    <t>Bloco 1- Redimentos</t>
  </si>
  <si>
    <t>Mês</t>
  </si>
  <si>
    <t>Fundo 1</t>
  </si>
  <si>
    <t>Fundo 2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</si>
  <si>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</si>
  <si>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</si>
  <si>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</si>
  <si>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</si>
  <si>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</si>
  <si>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</si>
  <si>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</si>
  <si>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</si>
  <si>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</si>
  <si>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</si>
  <si>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</si>
  <si>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</si>
  <si>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Subtotal</t>
  </si>
  <si>
    <t xml:space="preserve">total </t>
  </si>
  <si>
    <t>Bloco 2- Despesas</t>
  </si>
  <si>
    <t>PDDE BÁSICO</t>
  </si>
  <si>
    <t>CUSTEIO</t>
  </si>
  <si>
    <t>CAPITAL</t>
  </si>
  <si>
    <t>Saldo anterior</t>
  </si>
  <si>
    <t>recebido no exercício 1ª PARCELA</t>
  </si>
  <si>
    <t>recebido no exercício 2ª PARCELA</t>
  </si>
  <si>
    <t>Total recebido</t>
  </si>
  <si>
    <t>Rendimentos</t>
  </si>
  <si>
    <t>Recursos Próprios</t>
  </si>
  <si>
    <t>DEVOLVIDO AO FNDE</t>
  </si>
  <si>
    <t xml:space="preserve">Despesa </t>
  </si>
  <si>
    <t xml:space="preserve">SALDO DEVOLVIDO </t>
  </si>
  <si>
    <t>SALDO DEVOLVIDO</t>
  </si>
  <si>
    <t>Saldo a reprogramar</t>
  </si>
  <si>
    <t>Bloco 3- Conferência com extrato</t>
  </si>
  <si>
    <t>Saldo inicial dos programas</t>
  </si>
  <si>
    <t>Saldo final dos programas</t>
  </si>
  <si>
    <t>saldo  inicial</t>
  </si>
  <si>
    <t>final</t>
  </si>
  <si>
    <t>Saldo extrato de C/C</t>
  </si>
  <si>
    <t>Saldo final rendimento 1</t>
  </si>
  <si>
    <t>Saldo final rendimento 2</t>
  </si>
  <si>
    <t>Total</t>
  </si>
  <si>
    <t>total</t>
  </si>
  <si>
    <t xml:space="preserve">Diferença entre extrato e saldo </t>
  </si>
  <si>
    <t>Rio de Janeiro, 31 de dezembro de 2026</t>
  </si>
  <si>
    <t>_________________________________________________</t>
  </si>
  <si>
    <t>Presidente do CEC</t>
  </si>
  <si>
    <t>Assinatura do Presidente do CEC</t>
  </si>
  <si>
    <t>FUNDO NACIONAL DE DESESNVOLVIMENTO DA EDUCAÇÃO</t>
  </si>
  <si>
    <t xml:space="preserve">DIRETORIA FINANCEIRA
COORDENAÇÃO-GERAL DE CONTABILIDADE E ACOMPANHAMENTO DE PRESTAÇÃO DE CONTAS
</t>
  </si>
  <si>
    <t>BLOCO 1 - IDENTIFICAÇÃO</t>
  </si>
  <si>
    <t>01- Programa/ Ação</t>
  </si>
  <si>
    <t>02- exercíciio</t>
  </si>
  <si>
    <t>FNDE/PDDE/BÁSICO</t>
  </si>
  <si>
    <t>03- Nome da Razão social</t>
  </si>
  <si>
    <t>04- CNPJ</t>
  </si>
  <si>
    <t xml:space="preserve">05 - Endereço </t>
  </si>
  <si>
    <t>06- Municipio</t>
  </si>
  <si>
    <t>07 - UF</t>
  </si>
  <si>
    <t>Rio de Janeiro</t>
  </si>
  <si>
    <t>RJ</t>
  </si>
  <si>
    <t>BLOCO 2 - SÍNTESE DA EXECUÇÃO DA RECEITA E DA DESPESA (R$)</t>
  </si>
  <si>
    <t>08 - Saldo do Exerc. Anterior</t>
  </si>
  <si>
    <t>09 - Valor Recebido no Exercício</t>
  </si>
  <si>
    <t>10 - Recursos Próprios</t>
  </si>
  <si>
    <t>11- Rend. de Aplicação Financeira</t>
  </si>
  <si>
    <t>12- Devolução ao FNDE (-)</t>
  </si>
  <si>
    <t>Custeio</t>
  </si>
  <si>
    <t>Capital</t>
  </si>
  <si>
    <t>13 - Valor Total da Receita</t>
  </si>
  <si>
    <t>14- Despesa realizada</t>
  </si>
  <si>
    <t>15- Saldo a Reprogramar   Exerc. Seguinte</t>
  </si>
  <si>
    <t>16 - Saldo Devolvido</t>
  </si>
  <si>
    <t>17- Período de Execução</t>
  </si>
  <si>
    <t>18- Nº de Escolas</t>
  </si>
  <si>
    <t>01/01/2026 A 31/12/2026</t>
  </si>
  <si>
    <t>BLOCO 3 - PAGAMENTOS EFETUADOS</t>
  </si>
  <si>
    <t>19 - Item</t>
  </si>
  <si>
    <t>20 - Nome do Favorecido e CNPJ ou CPF</t>
  </si>
  <si>
    <t>21 - Tipo de Bens e Materiais Adquiridos</t>
  </si>
  <si>
    <t>22 - Orig. R$(*)</t>
  </si>
  <si>
    <t>23- Nat. Desp.</t>
  </si>
  <si>
    <t>24 - Documento</t>
  </si>
  <si>
    <t>25 - Pagamento</t>
  </si>
  <si>
    <t>26- valor (R$)</t>
  </si>
  <si>
    <t>ou Serviços Contratados( indicar também a atividade)</t>
  </si>
  <si>
    <t>Tipo</t>
  </si>
  <si>
    <t>Número</t>
  </si>
  <si>
    <t>Data</t>
  </si>
  <si>
    <t>Nº Ch/OB</t>
  </si>
  <si>
    <t>FNDE</t>
  </si>
  <si>
    <t>27 - TOTAL</t>
  </si>
  <si>
    <t>BLOCO 4 - AUTENTICAÇÃO</t>
  </si>
  <si>
    <t>Rio de Janeiro, 31 de dezembro  de 2026.</t>
  </si>
  <si>
    <t>Local e Data</t>
  </si>
  <si>
    <t>Nome do(a) Dirigente ou Representante Legal</t>
  </si>
  <si>
    <t>Assinatura do(a) Dirigente ou do Representante Legal</t>
  </si>
  <si>
    <t>BLOCO 3 - PAGAMENTOS EFETUADOS (CONTINUAÇÃO)</t>
  </si>
  <si>
    <t xml:space="preserve">21 - Tipo de Bens e Materiais Adquiridos </t>
  </si>
  <si>
    <t xml:space="preserve"> ou Serviços Contratados(indicar também atividades)</t>
  </si>
  <si>
    <t>Transporte</t>
  </si>
  <si>
    <t>TOTAL</t>
  </si>
  <si>
    <t xml:space="preserve">FUNDO NACIONAL DE DESESNVOLVIMENTO DA EDUCAÇÃO
DIRETORIA FINANCEIRA
COORDENAÇÃO-GERAL DE CONTABILIDADE E ACOMPANHAMENTO DE PRESTAÇÃO DE CONTAS                                          PRESTAÇÃO DE CONTAS</t>
  </si>
  <si>
    <t>CONCILIAÇÃO BANCÁRIA</t>
  </si>
  <si>
    <t>02- Exercício</t>
  </si>
  <si>
    <t>FNDE/PDDE BÁSICO</t>
  </si>
  <si>
    <t xml:space="preserve">06- Município
Rio de Janeiro</t>
  </si>
  <si>
    <t xml:space="preserve">07-UF
RJ</t>
  </si>
  <si>
    <t>BLOCO 2- IDENTIFICAÇÃO BANCÁRIA E SALDO</t>
  </si>
  <si>
    <t>08- Banco</t>
  </si>
  <si>
    <t>09-Cód. da Agência</t>
  </si>
  <si>
    <t>10- Nº da Conta Corrente</t>
  </si>
  <si>
    <t>11- Saldo do Extrato Bancário</t>
  </si>
  <si>
    <r>
      <t xml:space="preserve">Data: </t>
    </r>
    <r>
      <rPr>
        <b/>
        <color theme="1"/>
        <family val="2"/>
        <scheme val="minor"/>
        <sz val="11"/>
        <rFont val="Calibri"/>
      </rPr>
      <t>31/12/2026</t>
    </r>
  </si>
  <si>
    <t>Valor (R$)</t>
  </si>
  <si>
    <t>BLOCO 3- DEMONSTRAÇÃO CONTÁBIL/FINANCEIRA</t>
  </si>
  <si>
    <t>12- Créditos não Demonstrados no Extrato</t>
  </si>
  <si>
    <t>13- Débitos não Demonstrados no Extrato</t>
  </si>
  <si>
    <t>14- Restos a Pagar Processados</t>
  </si>
  <si>
    <t xml:space="preserve">15- Saldo contábil
(11+12)-(13+14)</t>
  </si>
  <si>
    <t>Histórico</t>
  </si>
  <si>
    <t>Valor ($)</t>
  </si>
  <si>
    <t>16- TOTAL</t>
  </si>
  <si>
    <t>BLOCO 4- AUTENTICAÇÃO</t>
  </si>
  <si>
    <t>RJ, 31/12/26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</si>
</sst>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0&quot;.&quot;000&quot;.&quot;000&quot;/&quot;0000&quot;-&quot;00"/>
    <numFmt numFmtId="165" formatCode="0000"/>
    <numFmt numFmtId="166" formatCode="&quot;R$&quot; #,##0.00"/>
    <numFmt numFmtId="167" formatCode="_-&quot;R$&quot; * #,##0.00_-;-&quot;R$&quot; * #,##0.00_-;_-&quot;R$&quot; * &quot;-&quot;??_-;_-@_-"/>
    <numFmt numFmtId="168" formatCode="&quot;R$ &quot;#,##0.00;[Red]&quot;R$ &quot;#,##0.00"/>
    <numFmt numFmtId="169" formatCode="0;[Red]0"/>
    <numFmt numFmtId="170" formatCode="dd/mm/yy"/>
  </numFmts>
  <fonts count="19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z val="11"/>
      <name val="Arial"/>
    </font>
    <font>
      <b/>
      <color theme="1"/>
      <family val="2"/>
      <sz val="10"/>
      <name val="Arial"/>
    </font>
    <font>
      <color theme="1"/>
      <family val="2"/>
      <sz val="11"/>
      <name val="Arial"/>
    </font>
    <font>
      <color theme="1"/>
      <family val="2"/>
      <scheme val="minor"/>
      <sz val="10"/>
      <name val="Calibri"/>
    </font>
    <font>
      <family val="2"/>
      <sz val="12"/>
      <name val="Arial"/>
    </font>
    <font>
      <b/>
      <family val="2"/>
      <sz val="14"/>
      <name val="Arial"/>
    </font>
    <font>
      <b/>
      <family val="2"/>
      <sz val="12"/>
      <name val="Arial"/>
    </font>
    <font>
      <family val="2"/>
      <sz val="14"/>
      <name val="Arial"/>
    </font>
    <font>
      <family val="2"/>
      <sz val="11"/>
      <name val="Arial"/>
    </font>
    <font>
      <color theme="1"/>
      <family val="2"/>
      <sz val="14"/>
      <name val="Arial"/>
    </font>
    <font>
      <family val="2"/>
      <sz val="9"/>
      <name val="Arial"/>
    </font>
    <font>
      <family val="2"/>
      <sz val="10"/>
      <name val="Arial"/>
    </font>
    <font>
      <family val="2"/>
      <sz val="16"/>
      <name val="Arial"/>
    </font>
    <font>
      <b/>
      <family val="2"/>
      <sz val="16"/>
      <name val="Arial"/>
    </font>
    <font>
      <color theme="1"/>
      <family val="2"/>
      <scheme val="minor"/>
      <sz val="12"/>
      <name val="Calibri"/>
    </font>
    <font>
      <b/>
      <family val="2"/>
      <sz val="11"/>
      <name val="Arial"/>
    </font>
    <font>
      <color theme="0" tint="-0.0499893185216834"/>
      <family val="2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22"/>
        <bgColor indexed="64"/>
      </patternFill>
    </fill>
    <fill>
      <patternFill patternType="mediumGray">
        <fgColor indexed="22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8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3" fillId="2" borderId="4" xfId="0" applyFont="1" applyFill="1" applyBorder="1"/>
    <xf numFmtId="164" fontId="0" fillId="2" borderId="0" xfId="0" applyNumberFormat="1" applyFill="1" applyAlignment="1">
      <alignment horizontal="left"/>
    </xf>
    <xf numFmtId="164" fontId="2" fillId="2" borderId="0" xfId="0" applyNumberFormat="1" applyFont="1" applyFill="1" applyAlignment="1">
      <alignment horizontal="left"/>
    </xf>
    <xf numFmtId="0" fontId="4" fillId="2" borderId="0" xfId="0" applyFont="1" applyFill="1"/>
    <xf numFmtId="0" fontId="4" fillId="2" borderId="5" xfId="0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5" xfId="0" applyFont="1" applyFill="1" applyBorder="1" applyAlignment="1">
      <alignment horizontal="left"/>
    </xf>
    <xf numFmtId="0" fontId="2" fillId="2" borderId="0" xfId="0" applyFont="1" applyFill="1"/>
    <xf numFmtId="0" fontId="3" fillId="2" borderId="6" xfId="0" applyFont="1" applyFill="1" applyBorder="1"/>
    <xf numFmtId="165" fontId="3" fillId="2" borderId="7" xfId="0" applyNumberFormat="1" applyFont="1" applyFill="1" applyBorder="1" applyAlignment="1">
      <alignment horizontal="left"/>
    </xf>
    <xf numFmtId="0" fontId="3" fillId="2" borderId="7" xfId="0" applyFont="1" applyFill="1" applyBorder="1" applyAlignment="1">
      <alignment horizontal="right"/>
    </xf>
    <xf numFmtId="0" fontId="3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9" xfId="0" applyFont="1" applyBorder="1"/>
    <xf numFmtId="0" fontId="3" fillId="0" borderId="9" xfId="0" applyFont="1" applyBorder="1"/>
    <xf numFmtId="166" fontId="1" fillId="0" borderId="9" xfId="0" applyNumberFormat="1" applyFont="1" applyBorder="1" applyProtection="1">
      <protection locked="0"/>
    </xf>
    <xf numFmtId="0" fontId="3" fillId="0" borderId="0" xfId="0" applyFont="1" applyAlignment="1">
      <alignment horizontal="center"/>
    </xf>
    <xf numFmtId="14" fontId="1" fillId="0" borderId="0" xfId="0" applyNumberFormat="1" applyFont="1"/>
    <xf numFmtId="166" fontId="1" fillId="0" borderId="0" xfId="0" applyNumberFormat="1" applyFont="1"/>
    <xf numFmtId="167" fontId="3" fillId="0" borderId="0" xfId="0" applyNumberFormat="1" applyFont="1" applyAlignment="1">
      <alignment horizontal="center"/>
    </xf>
    <xf numFmtId="4" fontId="3" fillId="0" borderId="0" xfId="0" applyNumberFormat="1" applyFont="1"/>
    <xf numFmtId="166" fontId="3" fillId="0" borderId="9" xfId="0" applyNumberFormat="1" applyFont="1" applyBorder="1" applyProtection="1">
      <protection locked="0"/>
    </xf>
    <xf numFmtId="166" fontId="1" fillId="2" borderId="10" xfId="0" applyNumberFormat="1" applyFont="1" applyFill="1" applyBorder="1"/>
    <xf numFmtId="0" fontId="1" fillId="0" borderId="11" xfId="0" applyFont="1" applyBorder="1"/>
    <xf numFmtId="166" fontId="1" fillId="2" borderId="12" xfId="0" applyNumberFormat="1" applyFont="1" applyFill="1" applyBorder="1" applyAlignment="1">
      <alignment horizontal="center"/>
    </xf>
    <xf numFmtId="166" fontId="1" fillId="2" borderId="13" xfId="0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3" borderId="9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167" fontId="0" fillId="2" borderId="9" xfId="0" applyNumberFormat="1" applyFill="1" applyBorder="1"/>
    <xf numFmtId="167" fontId="1" fillId="2" borderId="9" xfId="0" applyNumberFormat="1" applyFont="1" applyFill="1" applyBorder="1"/>
    <xf numFmtId="0" fontId="1" fillId="0" borderId="11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167" fontId="1" fillId="0" borderId="9" xfId="0" applyNumberFormat="1" applyFont="1" applyBorder="1" applyProtection="1">
      <protection locked="0"/>
    </xf>
    <xf numFmtId="167" fontId="1" fillId="0" borderId="9" xfId="0" applyNumberFormat="1" applyFont="1" applyBorder="1"/>
    <xf numFmtId="0" fontId="3" fillId="3" borderId="0" xfId="0" applyFont="1" applyFill="1" applyAlignment="1">
      <alignment horizontal="left"/>
    </xf>
    <xf numFmtId="167" fontId="1" fillId="2" borderId="9" xfId="0" applyNumberFormat="1" applyFont="1" applyFill="1" applyBorder="1" applyAlignment="1">
      <alignment horizontal="right"/>
    </xf>
    <xf numFmtId="167" fontId="3" fillId="2" borderId="9" xfId="0" applyNumberFormat="1" applyFont="1" applyFill="1" applyBorder="1" applyAlignment="1">
      <alignment horizontal="right"/>
    </xf>
    <xf numFmtId="167" fontId="1" fillId="0" borderId="9" xfId="0" applyNumberFormat="1" applyFont="1" applyBorder="1" applyAlignment="1" applyProtection="1">
      <alignment horizontal="right"/>
      <protection locked="0"/>
    </xf>
    <xf numFmtId="0" fontId="1" fillId="2" borderId="0" xfId="0" applyFont="1" applyFill="1" applyAlignment="1">
      <alignment horizontal="center"/>
    </xf>
    <xf numFmtId="0" fontId="0" fillId="2" borderId="0" xfId="0" applyFill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0" fillId="0" borderId="0" xfId="0" applyAlignment="1">
      <alignment horizontal="left" vertical="top" wrapText="1"/>
    </xf>
    <xf numFmtId="0" fontId="5" fillId="0" borderId="0" xfId="0" applyFont="1"/>
    <xf numFmtId="0" fontId="0" fillId="0" borderId="16" xfId="0" applyBorder="1"/>
    <xf numFmtId="0" fontId="6" fillId="2" borderId="17" xfId="0" applyFont="1" applyFill="1" applyBorder="1" applyAlignment="1">
      <alignment horizontal="left"/>
    </xf>
    <xf numFmtId="0" fontId="6" fillId="2" borderId="18" xfId="0" applyFont="1" applyFill="1" applyBorder="1" applyAlignment="1">
      <alignment horizontal="left"/>
    </xf>
    <xf numFmtId="0" fontId="6" fillId="2" borderId="19" xfId="0" applyFont="1" applyFill="1" applyBorder="1" applyAlignment="1">
      <alignment horizontal="left"/>
    </xf>
    <xf numFmtId="0" fontId="6" fillId="2" borderId="20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6" fillId="2" borderId="3" xfId="0" applyFont="1" applyFill="1" applyBorder="1" applyAlignment="1">
      <alignment horizontal="left" vertical="top"/>
    </xf>
    <xf numFmtId="0" fontId="6" fillId="2" borderId="9" xfId="0" applyFont="1" applyFill="1" applyBorder="1" applyAlignment="1">
      <alignment horizontal="left" vertical="top"/>
    </xf>
    <xf numFmtId="0" fontId="7" fillId="2" borderId="2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top"/>
    </xf>
    <xf numFmtId="0" fontId="7" fillId="2" borderId="2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top"/>
    </xf>
    <xf numFmtId="0" fontId="6" fillId="2" borderId="11" xfId="0" applyFont="1" applyFill="1" applyBorder="1" applyAlignment="1">
      <alignment horizontal="left" vertical="top"/>
    </xf>
    <xf numFmtId="0" fontId="6" fillId="2" borderId="23" xfId="0" applyFont="1" applyFill="1" applyBorder="1" applyAlignment="1">
      <alignment horizontal="left" vertical="top"/>
    </xf>
    <xf numFmtId="0" fontId="6" fillId="2" borderId="15" xfId="0" applyFont="1" applyFill="1" applyBorder="1" applyAlignment="1">
      <alignment horizontal="left" vertical="top"/>
    </xf>
    <xf numFmtId="0" fontId="8" fillId="2" borderId="22" xfId="0" applyFont="1" applyFill="1" applyBorder="1" applyAlignment="1">
      <alignment horizontal="right" vertical="top"/>
    </xf>
    <xf numFmtId="0" fontId="8" fillId="2" borderId="7" xfId="0" applyFont="1" applyFill="1" applyBorder="1" applyAlignment="1">
      <alignment horizontal="right" vertical="top"/>
    </xf>
    <xf numFmtId="0" fontId="8" fillId="2" borderId="7" xfId="0" applyFont="1" applyFill="1" applyBorder="1" applyAlignment="1">
      <alignment horizontal="left" vertical="top"/>
    </xf>
    <xf numFmtId="0" fontId="8" fillId="2" borderId="8" xfId="0" applyFont="1" applyFill="1" applyBorder="1" applyAlignment="1">
      <alignment horizontal="left" vertical="top"/>
    </xf>
    <xf numFmtId="164" fontId="8" fillId="2" borderId="11" xfId="0" applyNumberFormat="1" applyFont="1" applyFill="1" applyBorder="1" applyAlignment="1">
      <alignment horizontal="center" vertical="top"/>
    </xf>
    <xf numFmtId="164" fontId="8" fillId="2" borderId="23" xfId="0" applyNumberFormat="1" applyFont="1" applyFill="1" applyBorder="1" applyAlignment="1">
      <alignment horizontal="center" vertical="top"/>
    </xf>
    <xf numFmtId="164" fontId="8" fillId="2" borderId="15" xfId="0" applyNumberFormat="1" applyFont="1" applyFill="1" applyBorder="1" applyAlignment="1">
      <alignment horizontal="center" vertical="top"/>
    </xf>
    <xf numFmtId="0" fontId="6" fillId="2" borderId="9" xfId="0" applyFont="1" applyFill="1" applyBorder="1" applyAlignment="1">
      <alignment vertical="top"/>
    </xf>
    <xf numFmtId="0" fontId="6" fillId="2" borderId="21" xfId="0" applyFont="1" applyFill="1" applyBorder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6" fillId="2" borderId="24" xfId="0" applyFont="1" applyFill="1" applyBorder="1" applyAlignment="1">
      <alignment horizontal="center" vertical="top"/>
    </xf>
    <xf numFmtId="0" fontId="6" fillId="2" borderId="25" xfId="0" applyFont="1" applyFill="1" applyBorder="1" applyAlignment="1">
      <alignment horizontal="left" vertical="top"/>
    </xf>
    <xf numFmtId="0" fontId="6" fillId="2" borderId="16" xfId="0" applyFont="1" applyFill="1" applyBorder="1" applyAlignment="1">
      <alignment horizontal="left" vertical="top"/>
    </xf>
    <xf numFmtId="0" fontId="6" fillId="2" borderId="26" xfId="0" applyFont="1" applyFill="1" applyBorder="1" applyAlignment="1">
      <alignment horizontal="left" vertical="top"/>
    </xf>
    <xf numFmtId="0" fontId="6" fillId="2" borderId="6" xfId="0" applyFont="1" applyFill="1" applyBorder="1" applyAlignment="1">
      <alignment horizontal="left" vertical="top"/>
    </xf>
    <xf numFmtId="0" fontId="6" fillId="2" borderId="8" xfId="0" applyFont="1" applyFill="1" applyBorder="1" applyAlignment="1">
      <alignment horizontal="left" vertical="top"/>
    </xf>
    <xf numFmtId="0" fontId="6" fillId="2" borderId="27" xfId="0" applyFont="1" applyFill="1" applyBorder="1" applyAlignment="1">
      <alignment horizontal="center" vertical="top"/>
    </xf>
    <xf numFmtId="0" fontId="0" fillId="2" borderId="0" xfId="0" applyFill="1"/>
    <xf numFmtId="0" fontId="6" fillId="2" borderId="28" xfId="0" applyFont="1" applyFill="1" applyBorder="1"/>
    <xf numFmtId="0" fontId="6" fillId="2" borderId="29" xfId="0" applyFont="1" applyFill="1" applyBorder="1"/>
    <xf numFmtId="0" fontId="6" fillId="2" borderId="19" xfId="0" applyFont="1" applyFill="1" applyBorder="1"/>
    <xf numFmtId="0" fontId="6" fillId="2" borderId="30" xfId="0" applyFont="1" applyFill="1" applyBorder="1" applyAlignment="1">
      <alignment vertical="top"/>
    </xf>
    <xf numFmtId="0" fontId="6" fillId="2" borderId="23" xfId="0" applyFont="1" applyFill="1" applyBorder="1" applyAlignment="1">
      <alignment vertical="top"/>
    </xf>
    <xf numFmtId="0" fontId="6" fillId="2" borderId="15" xfId="0" applyFont="1" applyFill="1" applyBorder="1" applyAlignment="1">
      <alignment vertical="top"/>
    </xf>
    <xf numFmtId="0" fontId="6" fillId="2" borderId="23" xfId="0" applyFont="1" applyFill="1" applyBorder="1" applyAlignment="1">
      <alignment horizontal="center" vertical="top"/>
    </xf>
    <xf numFmtId="0" fontId="6" fillId="2" borderId="31" xfId="0" applyFont="1" applyFill="1" applyBorder="1" applyAlignment="1">
      <alignment horizontal="center" vertical="top"/>
    </xf>
    <xf numFmtId="168" fontId="6" fillId="2" borderId="30" xfId="0" applyNumberFormat="1" applyFont="1" applyFill="1" applyBorder="1" applyAlignment="1">
      <alignment horizontal="center" vertical="center"/>
    </xf>
    <xf numFmtId="168" fontId="6" fillId="2" borderId="15" xfId="0" applyNumberFormat="1" applyFont="1" applyFill="1" applyBorder="1" applyAlignment="1">
      <alignment horizontal="center" vertical="center"/>
    </xf>
    <xf numFmtId="168" fontId="6" fillId="2" borderId="23" xfId="0" applyNumberFormat="1" applyFont="1" applyFill="1" applyBorder="1" applyAlignment="1">
      <alignment horizontal="center" vertical="center"/>
    </xf>
    <xf numFmtId="168" fontId="6" fillId="2" borderId="11" xfId="0" applyNumberFormat="1" applyFont="1" applyFill="1" applyBorder="1" applyAlignment="1">
      <alignment horizontal="center" vertical="center"/>
    </xf>
    <xf numFmtId="168" fontId="6" fillId="2" borderId="1" xfId="0" applyNumberFormat="1" applyFont="1" applyFill="1" applyBorder="1" applyAlignment="1">
      <alignment horizontal="center" vertical="center"/>
    </xf>
    <xf numFmtId="168" fontId="6" fillId="2" borderId="2" xfId="0" applyNumberFormat="1" applyFont="1" applyFill="1" applyBorder="1" applyAlignment="1">
      <alignment horizontal="center" vertical="center"/>
    </xf>
    <xf numFmtId="168" fontId="6" fillId="2" borderId="3" xfId="0" applyNumberFormat="1" applyFont="1" applyFill="1" applyBorder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 vertical="center"/>
    </xf>
    <xf numFmtId="168" fontId="6" fillId="2" borderId="32" xfId="0" applyNumberFormat="1" applyFont="1" applyFill="1" applyBorder="1" applyAlignment="1">
      <alignment horizontal="center" vertical="center"/>
    </xf>
    <xf numFmtId="168" fontId="6" fillId="0" borderId="21" xfId="0" applyNumberFormat="1" applyFont="1" applyBorder="1" applyAlignment="1">
      <alignment horizontal="center" vertical="center"/>
    </xf>
    <xf numFmtId="166" fontId="9" fillId="2" borderId="30" xfId="0" applyNumberFormat="1" applyFont="1" applyFill="1" applyBorder="1" applyAlignment="1">
      <alignment horizontal="right" vertical="center"/>
    </xf>
    <xf numFmtId="166" fontId="9" fillId="2" borderId="15" xfId="0" applyNumberFormat="1" applyFont="1" applyFill="1" applyBorder="1" applyAlignment="1">
      <alignment horizontal="right" vertical="center"/>
    </xf>
    <xf numFmtId="166" fontId="9" fillId="2" borderId="8" xfId="0" applyNumberFormat="1" applyFont="1" applyFill="1" applyBorder="1" applyAlignment="1">
      <alignment horizontal="right" vertical="center"/>
    </xf>
    <xf numFmtId="166" fontId="9" fillId="2" borderId="11" xfId="0" applyNumberFormat="1" applyFont="1" applyFill="1" applyBorder="1" applyAlignment="1">
      <alignment horizontal="right" vertical="center"/>
    </xf>
    <xf numFmtId="166" fontId="9" fillId="2" borderId="23" xfId="0" applyNumberFormat="1" applyFont="1" applyFill="1" applyBorder="1" applyAlignment="1">
      <alignment horizontal="right" vertical="center"/>
    </xf>
    <xf numFmtId="166" fontId="9" fillId="2" borderId="9" xfId="0" applyNumberFormat="1" applyFont="1" applyFill="1" applyBorder="1" applyAlignment="1">
      <alignment horizontal="right" vertical="center"/>
    </xf>
    <xf numFmtId="166" fontId="9" fillId="2" borderId="33" xfId="0" applyNumberFormat="1" applyFont="1" applyFill="1" applyBorder="1" applyAlignment="1">
      <alignment horizontal="right" vertical="center"/>
    </xf>
    <xf numFmtId="0" fontId="6" fillId="2" borderId="11" xfId="0" applyFont="1" applyFill="1" applyBorder="1" applyAlignment="1">
      <alignment horizontal="left"/>
    </xf>
    <xf numFmtId="0" fontId="6" fillId="2" borderId="23" xfId="0" applyFont="1" applyFill="1" applyBorder="1" applyAlignment="1">
      <alignment horizontal="left"/>
    </xf>
    <xf numFmtId="0" fontId="6" fillId="2" borderId="15" xfId="0" applyFont="1" applyFill="1" applyBorder="1" applyAlignment="1">
      <alignment horizontal="left"/>
    </xf>
    <xf numFmtId="0" fontId="6" fillId="2" borderId="11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10" fillId="2" borderId="9" xfId="0" applyFont="1" applyFill="1" applyBorder="1"/>
    <xf numFmtId="168" fontId="6" fillId="2" borderId="15" xfId="0" applyNumberFormat="1" applyFont="1" applyFill="1" applyBorder="1" applyAlignment="1">
      <alignment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166" fontId="9" fillId="2" borderId="34" xfId="0" applyNumberFormat="1" applyFont="1" applyFill="1" applyBorder="1" applyAlignment="1">
      <alignment horizontal="right"/>
    </xf>
    <xf numFmtId="166" fontId="9" fillId="2" borderId="35" xfId="0" applyNumberFormat="1" applyFont="1" applyFill="1" applyBorder="1" applyAlignment="1">
      <alignment horizontal="right"/>
    </xf>
    <xf numFmtId="166" fontId="9" fillId="2" borderId="36" xfId="0" applyNumberFormat="1" applyFont="1" applyFill="1" applyBorder="1" applyAlignment="1">
      <alignment horizontal="right"/>
    </xf>
    <xf numFmtId="166" fontId="6" fillId="2" borderId="36" xfId="0" applyNumberFormat="1" applyFont="1" applyFill="1" applyBorder="1"/>
    <xf numFmtId="166" fontId="9" fillId="2" borderId="37" xfId="0" applyNumberFormat="1" applyFont="1" applyFill="1" applyBorder="1" applyAlignment="1">
      <alignment horizontal="right"/>
    </xf>
    <xf numFmtId="166" fontId="11" fillId="2" borderId="36" xfId="0" applyNumberFormat="1" applyFont="1" applyFill="1" applyBorder="1" applyAlignment="1">
      <alignment horizontal="right"/>
    </xf>
    <xf numFmtId="0" fontId="6" fillId="2" borderId="38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10" fillId="5" borderId="28" xfId="0" applyFont="1" applyFill="1" applyBorder="1" applyAlignment="1">
      <alignment horizontal="left"/>
    </xf>
    <xf numFmtId="0" fontId="10" fillId="5" borderId="29" xfId="0" applyFont="1" applyFill="1" applyBorder="1" applyAlignment="1">
      <alignment horizontal="left"/>
    </xf>
    <xf numFmtId="0" fontId="10" fillId="5" borderId="29" xfId="0" applyFont="1" applyFill="1" applyBorder="1"/>
    <xf numFmtId="0" fontId="10" fillId="5" borderId="19" xfId="0" applyFont="1" applyFill="1" applyBorder="1"/>
    <xf numFmtId="0" fontId="6" fillId="0" borderId="3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top" wrapText="1"/>
    </xf>
    <xf numFmtId="0" fontId="13" fillId="0" borderId="9" xfId="0" applyFont="1" applyBorder="1" applyAlignment="1" applyProtection="1">
      <alignment horizontal="left" vertical="top" wrapText="1"/>
      <protection locked="0"/>
    </xf>
    <xf numFmtId="0" fontId="10" fillId="0" borderId="9" xfId="0" applyFont="1" applyBorder="1" applyAlignment="1">
      <alignment horizontal="center" vertical="center" wrapText="1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14" fontId="13" fillId="0" borderId="9" xfId="0" applyNumberFormat="1" applyFont="1" applyBorder="1" applyAlignment="1" applyProtection="1">
      <alignment horizontal="center" vertical="center" wrapText="1"/>
      <protection locked="0"/>
    </xf>
    <xf numFmtId="169" fontId="13" fillId="0" borderId="9" xfId="0" applyNumberFormat="1" applyFont="1" applyBorder="1" applyAlignment="1" applyProtection="1">
      <alignment horizontal="center" vertical="center" wrapText="1"/>
      <protection locked="0"/>
    </xf>
    <xf numFmtId="14" fontId="13" fillId="0" borderId="10" xfId="0" applyNumberFormat="1" applyFont="1" applyBorder="1" applyAlignment="1" applyProtection="1">
      <alignment horizontal="center" vertical="center" wrapText="1"/>
      <protection locked="0"/>
    </xf>
    <xf numFmtId="166" fontId="13" fillId="0" borderId="32" xfId="0" applyNumberFormat="1" applyFont="1" applyBorder="1" applyAlignment="1" applyProtection="1">
      <alignment horizontal="right" vertical="center" wrapText="1"/>
      <protection locked="0"/>
    </xf>
    <xf numFmtId="0" fontId="13" fillId="0" borderId="14" xfId="0" applyFont="1" applyBorder="1" applyAlignment="1" applyProtection="1">
      <alignment horizontal="center" vertical="center" wrapText="1"/>
      <protection locked="0"/>
    </xf>
    <xf numFmtId="14" fontId="13" fillId="0" borderId="14" xfId="0" applyNumberFormat="1" applyFont="1" applyBorder="1" applyAlignment="1" applyProtection="1">
      <alignment horizontal="center" vertical="center" wrapText="1"/>
      <protection locked="0"/>
    </xf>
    <xf numFmtId="0" fontId="13" fillId="0" borderId="42" xfId="0" applyFont="1" applyBorder="1" applyAlignment="1">
      <alignment horizontal="center" vertical="top"/>
    </xf>
    <xf numFmtId="166" fontId="13" fillId="0" borderId="32" xfId="0" applyNumberFormat="1" applyFont="1" applyBorder="1" applyAlignment="1" applyProtection="1">
      <alignment horizontal="right" vertical="center"/>
      <protection locked="0"/>
    </xf>
    <xf numFmtId="49" fontId="13" fillId="0" borderId="42" xfId="0" applyNumberFormat="1" applyFont="1" applyBorder="1" applyAlignment="1">
      <alignment horizontal="center" vertical="top"/>
    </xf>
    <xf numFmtId="0" fontId="6" fillId="0" borderId="42" xfId="0" applyFont="1" applyBorder="1" applyAlignment="1">
      <alignment horizontal="center" vertical="top"/>
    </xf>
    <xf numFmtId="49" fontId="6" fillId="0" borderId="42" xfId="0" applyNumberFormat="1" applyFont="1" applyBorder="1" applyAlignment="1">
      <alignment horizontal="center" vertical="top"/>
    </xf>
    <xf numFmtId="0" fontId="6" fillId="0" borderId="9" xfId="0" applyFont="1" applyBorder="1" applyAlignment="1" applyProtection="1">
      <alignment horizontal="left" vertical="top" wrapText="1"/>
      <protection locked="0"/>
    </xf>
    <xf numFmtId="0" fontId="14" fillId="0" borderId="9" xfId="0" applyFont="1" applyBorder="1" applyAlignment="1" applyProtection="1">
      <alignment horizontal="left" vertical="top" wrapText="1"/>
      <protection locked="0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14" fontId="6" fillId="0" borderId="9" xfId="0" applyNumberFormat="1" applyFont="1" applyBorder="1" applyAlignment="1" applyProtection="1">
      <alignment horizontal="center" vertical="center" wrapText="1"/>
      <protection locked="0"/>
    </xf>
    <xf numFmtId="169" fontId="6" fillId="0" borderId="9" xfId="0" applyNumberFormat="1" applyFont="1" applyBorder="1" applyAlignment="1" applyProtection="1">
      <alignment horizontal="center" vertical="center" wrapText="1"/>
      <protection locked="0"/>
    </xf>
    <xf numFmtId="14" fontId="6" fillId="0" borderId="10" xfId="0" applyNumberFormat="1" applyFont="1" applyBorder="1" applyAlignment="1" applyProtection="1">
      <alignment horizontal="center" vertical="center" wrapText="1"/>
      <protection locked="0"/>
    </xf>
    <xf numFmtId="166" fontId="6" fillId="0" borderId="32" xfId="0" applyNumberFormat="1" applyFont="1" applyBorder="1" applyAlignment="1" applyProtection="1">
      <alignment horizontal="right" vertical="center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14" fontId="6" fillId="0" borderId="14" xfId="0" applyNumberFormat="1" applyFont="1" applyBorder="1" applyAlignment="1" applyProtection="1">
      <alignment horizontal="center" vertical="center" wrapText="1"/>
      <protection locked="0"/>
    </xf>
    <xf numFmtId="0" fontId="6" fillId="0" borderId="20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right" vertical="center"/>
    </xf>
    <xf numFmtId="166" fontId="8" fillId="2" borderId="1" xfId="0" applyNumberFormat="1" applyFont="1" applyFill="1" applyBorder="1" applyAlignment="1">
      <alignment horizontal="center" vertical="center"/>
    </xf>
    <xf numFmtId="166" fontId="8" fillId="2" borderId="3" xfId="0" applyNumberFormat="1" applyFont="1" applyFill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center" vertical="center"/>
    </xf>
    <xf numFmtId="166" fontId="8" fillId="2" borderId="7" xfId="0" applyNumberFormat="1" applyFont="1" applyFill="1" applyBorder="1" applyAlignment="1">
      <alignment horizontal="center" vertical="center"/>
    </xf>
    <xf numFmtId="0" fontId="6" fillId="0" borderId="4" xfId="0" applyFont="1" applyBorder="1"/>
    <xf numFmtId="0" fontId="0" fillId="0" borderId="25" xfId="0" applyBorder="1"/>
    <xf numFmtId="0" fontId="0" fillId="0" borderId="16" xfId="0" applyBorder="1" applyAlignment="1">
      <alignment horizontal="center"/>
    </xf>
    <xf numFmtId="0" fontId="0" fillId="0" borderId="43" xfId="0" applyBorder="1" applyAlignment="1">
      <alignment horizontal="center"/>
    </xf>
    <xf numFmtId="0" fontId="6" fillId="5" borderId="28" xfId="0" applyFont="1" applyFill="1" applyBorder="1"/>
    <xf numFmtId="0" fontId="6" fillId="5" borderId="29" xfId="0" applyFont="1" applyFill="1" applyBorder="1"/>
    <xf numFmtId="0" fontId="6" fillId="5" borderId="19" xfId="0" applyFont="1" applyFill="1" applyBorder="1"/>
    <xf numFmtId="0" fontId="6" fillId="0" borderId="2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10" fillId="2" borderId="22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6" fillId="2" borderId="0" xfId="0" applyFont="1" applyFill="1"/>
    <xf numFmtId="0" fontId="6" fillId="0" borderId="7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25" xfId="0" applyFont="1" applyBorder="1"/>
    <xf numFmtId="0" fontId="10" fillId="0" borderId="16" xfId="0" applyFont="1" applyBorder="1" applyAlignment="1">
      <alignment horizontal="center" vertical="center"/>
    </xf>
    <xf numFmtId="0" fontId="6" fillId="0" borderId="16" xfId="0" applyFont="1" applyBorder="1"/>
    <xf numFmtId="0" fontId="10" fillId="0" borderId="44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0" xfId="0" applyFont="1"/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5" borderId="28" xfId="0" applyFont="1" applyFill="1" applyBorder="1" applyAlignment="1">
      <alignment horizontal="left"/>
    </xf>
    <xf numFmtId="0" fontId="6" fillId="5" borderId="29" xfId="0" applyFont="1" applyFill="1" applyBorder="1" applyAlignment="1">
      <alignment horizontal="left"/>
    </xf>
    <xf numFmtId="0" fontId="0" fillId="0" borderId="29" xfId="0" applyBorder="1"/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5" fillId="6" borderId="39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169" fontId="0" fillId="6" borderId="10" xfId="0" applyNumberFormat="1" applyFill="1" applyBorder="1" applyAlignment="1">
      <alignment horizontal="center"/>
    </xf>
    <xf numFmtId="170" fontId="0" fillId="6" borderId="10" xfId="0" applyNumberFormat="1" applyFill="1" applyBorder="1" applyAlignment="1">
      <alignment horizontal="center"/>
    </xf>
    <xf numFmtId="0" fontId="8" fillId="0" borderId="1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6" fillId="0" borderId="40" xfId="0" applyFont="1" applyBorder="1"/>
    <xf numFmtId="0" fontId="15" fillId="6" borderId="41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169" fontId="0" fillId="6" borderId="14" xfId="0" applyNumberFormat="1" applyFill="1" applyBorder="1" applyAlignment="1">
      <alignment horizontal="center"/>
    </xf>
    <xf numFmtId="170" fontId="0" fillId="6" borderId="14" xfId="0" applyNumberFormat="1" applyFill="1" applyBorder="1" applyAlignment="1">
      <alignment horizontal="center"/>
    </xf>
    <xf numFmtId="0" fontId="8" fillId="0" borderId="6" xfId="0" applyFont="1" applyBorder="1" applyAlignment="1">
      <alignment horizontal="right" vertical="center"/>
    </xf>
    <xf numFmtId="0" fontId="8" fillId="0" borderId="8" xfId="0" applyFont="1" applyBorder="1" applyAlignment="1">
      <alignment horizontal="right" vertical="center"/>
    </xf>
    <xf numFmtId="166" fontId="6" fillId="2" borderId="33" xfId="0" applyNumberFormat="1" applyFont="1" applyFill="1" applyBorder="1"/>
    <xf numFmtId="0" fontId="6" fillId="0" borderId="46" xfId="0" applyFont="1" applyBorder="1" applyAlignment="1">
      <alignment horizontal="center" vertical="center" wrapText="1"/>
    </xf>
    <xf numFmtId="166" fontId="6" fillId="0" borderId="32" xfId="0" applyNumberFormat="1" applyFont="1" applyBorder="1" applyAlignment="1" applyProtection="1">
      <alignment vertical="center" wrapText="1"/>
      <protection locked="0"/>
    </xf>
    <xf numFmtId="49" fontId="6" fillId="0" borderId="46" xfId="0" applyNumberFormat="1" applyFont="1" applyBorder="1" applyAlignment="1">
      <alignment horizontal="center" vertical="center" wrapText="1"/>
    </xf>
    <xf numFmtId="0" fontId="16" fillId="0" borderId="9" xfId="0" applyFont="1" applyBorder="1" applyAlignment="1" applyProtection="1">
      <alignment horizontal="left" vertical="top" wrapText="1"/>
      <protection locked="0"/>
    </xf>
    <xf numFmtId="166" fontId="6" fillId="0" borderId="32" xfId="0" applyNumberFormat="1" applyFont="1" applyBorder="1" applyAlignment="1" applyProtection="1">
      <alignment vertical="center"/>
      <protection locked="0"/>
    </xf>
    <xf numFmtId="0" fontId="6" fillId="0" borderId="46" xfId="0" applyFont="1" applyBorder="1" applyAlignment="1">
      <alignment horizontal="center" vertical="center"/>
    </xf>
    <xf numFmtId="49" fontId="6" fillId="0" borderId="46" xfId="0" applyNumberFormat="1" applyFont="1" applyBorder="1" applyAlignment="1">
      <alignment horizontal="center" vertical="center"/>
    </xf>
    <xf numFmtId="0" fontId="6" fillId="0" borderId="9" xfId="0" applyFont="1" applyBorder="1" applyAlignment="1" applyProtection="1">
      <alignment horizontal="center" vertical="top" wrapText="1"/>
      <protection locked="0"/>
    </xf>
    <xf numFmtId="0" fontId="6" fillId="0" borderId="30" xfId="0" applyFont="1" applyBorder="1"/>
    <xf numFmtId="0" fontId="6" fillId="0" borderId="23" xfId="0" applyFont="1" applyBorder="1"/>
    <xf numFmtId="0" fontId="6" fillId="0" borderId="7" xfId="0" applyFont="1" applyBorder="1"/>
    <xf numFmtId="0" fontId="8" fillId="0" borderId="23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166" fontId="6" fillId="2" borderId="31" xfId="0" applyNumberFormat="1" applyFont="1" applyFill="1" applyBorder="1"/>
    <xf numFmtId="0" fontId="0" fillId="0" borderId="43" xfId="0" applyBorder="1"/>
    <xf numFmtId="0" fontId="6" fillId="0" borderId="20" xfId="0" applyFont="1" applyBorder="1"/>
    <xf numFmtId="0" fontId="6" fillId="0" borderId="21" xfId="0" applyFont="1" applyBorder="1"/>
    <xf numFmtId="0" fontId="6" fillId="2" borderId="7" xfId="0" applyFont="1" applyFill="1" applyBorder="1"/>
    <xf numFmtId="0" fontId="6" fillId="2" borderId="7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1" fillId="2" borderId="0" xfId="0" applyFont="1" applyFill="1" applyAlignment="1">
      <alignment horizontal="left" wrapText="1"/>
    </xf>
    <xf numFmtId="0" fontId="2" fillId="2" borderId="47" xfId="0" applyFont="1" applyFill="1" applyBorder="1" applyAlignment="1">
      <alignment horizontal="center" wrapText="1"/>
    </xf>
    <xf numFmtId="0" fontId="2" fillId="2" borderId="48" xfId="0" applyFont="1" applyFill="1" applyBorder="1" applyAlignment="1">
      <alignment horizontal="center" wrapText="1"/>
    </xf>
    <xf numFmtId="0" fontId="2" fillId="2" borderId="49" xfId="0" applyFont="1" applyFill="1" applyBorder="1" applyAlignment="1">
      <alignment horizontal="center" wrapText="1"/>
    </xf>
    <xf numFmtId="0" fontId="10" fillId="2" borderId="50" xfId="0" applyFont="1" applyFill="1" applyBorder="1" applyAlignment="1">
      <alignment horizontal="left"/>
    </xf>
    <xf numFmtId="0" fontId="10" fillId="2" borderId="9" xfId="0" applyFont="1" applyFill="1" applyBorder="1" applyAlignment="1">
      <alignment horizontal="left"/>
    </xf>
    <xf numFmtId="0" fontId="10" fillId="2" borderId="51" xfId="0" applyFont="1" applyFill="1" applyBorder="1" applyAlignment="1">
      <alignment horizontal="left"/>
    </xf>
    <xf numFmtId="0" fontId="10" fillId="2" borderId="52" xfId="0" applyFont="1" applyFill="1" applyBorder="1" applyAlignment="1">
      <alignment horizontal="left" vertical="top"/>
    </xf>
    <xf numFmtId="0" fontId="10" fillId="2" borderId="2" xfId="0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left" vertical="top"/>
    </xf>
    <xf numFmtId="0" fontId="10" fillId="2" borderId="53" xfId="0" applyFont="1" applyFill="1" applyBorder="1" applyAlignment="1">
      <alignment horizontal="left" vertical="top"/>
    </xf>
    <xf numFmtId="0" fontId="8" fillId="2" borderId="54" xfId="0" applyFont="1" applyFill="1" applyBorder="1" applyAlignment="1">
      <alignment horizontal="center" vertical="top"/>
    </xf>
    <xf numFmtId="0" fontId="8" fillId="2" borderId="7" xfId="0" applyFont="1" applyFill="1" applyBorder="1" applyAlignment="1">
      <alignment horizontal="center" vertical="top"/>
    </xf>
    <xf numFmtId="0" fontId="8" fillId="2" borderId="6" xfId="0" applyFont="1" applyFill="1" applyBorder="1" applyAlignment="1">
      <alignment horizontal="center" vertical="top"/>
    </xf>
    <xf numFmtId="0" fontId="8" fillId="2" borderId="55" xfId="0" applyFont="1" applyFill="1" applyBorder="1" applyAlignment="1">
      <alignment horizontal="center" vertical="top"/>
    </xf>
    <xf numFmtId="0" fontId="10" fillId="2" borderId="56" xfId="0" applyFont="1" applyFill="1" applyBorder="1" applyAlignment="1">
      <alignment horizontal="left" vertical="top"/>
    </xf>
    <xf numFmtId="0" fontId="10" fillId="2" borderId="10" xfId="0" applyFont="1" applyFill="1" applyBorder="1" applyAlignment="1">
      <alignment horizontal="left" vertical="top"/>
    </xf>
    <xf numFmtId="0" fontId="10" fillId="2" borderId="57" xfId="0" applyFont="1" applyFill="1" applyBorder="1" applyAlignment="1">
      <alignment horizontal="left" vertical="top"/>
    </xf>
    <xf numFmtId="0" fontId="17" fillId="2" borderId="54" xfId="0" applyFont="1" applyFill="1" applyBorder="1" applyAlignment="1">
      <alignment horizontal="right" vertical="top"/>
    </xf>
    <xf numFmtId="0" fontId="17" fillId="2" borderId="7" xfId="0" applyFont="1" applyFill="1" applyBorder="1" applyAlignment="1">
      <alignment horizontal="left" vertical="top"/>
    </xf>
    <xf numFmtId="0" fontId="17" fillId="2" borderId="8" xfId="0" applyFont="1" applyFill="1" applyBorder="1" applyAlignment="1">
      <alignment horizontal="left" vertical="top"/>
    </xf>
    <xf numFmtId="164" fontId="8" fillId="2" borderId="14" xfId="0" applyNumberFormat="1" applyFont="1" applyFill="1" applyBorder="1" applyAlignment="1">
      <alignment horizontal="left" vertical="top"/>
    </xf>
    <xf numFmtId="164" fontId="8" fillId="2" borderId="58" xfId="0" applyNumberFormat="1" applyFont="1" applyFill="1" applyBorder="1" applyAlignment="1">
      <alignment horizontal="left" vertical="top"/>
    </xf>
    <xf numFmtId="0" fontId="10" fillId="2" borderId="9" xfId="0" applyFont="1" applyFill="1" applyBorder="1" applyAlignment="1">
      <alignment horizontal="left" vertical="top" wrapText="1"/>
    </xf>
    <xf numFmtId="0" fontId="10" fillId="2" borderId="51" xfId="0" applyFont="1" applyFill="1" applyBorder="1" applyAlignment="1">
      <alignment horizontal="left" vertical="top" wrapText="1"/>
    </xf>
    <xf numFmtId="0" fontId="13" fillId="2" borderId="59" xfId="0" applyFont="1" applyFill="1" applyBorder="1" applyAlignment="1">
      <alignment horizontal="left" vertical="top"/>
    </xf>
    <xf numFmtId="0" fontId="13" fillId="2" borderId="14" xfId="0" applyFont="1" applyFill="1" applyBorder="1" applyAlignment="1">
      <alignment horizontal="left" vertical="top"/>
    </xf>
    <xf numFmtId="0" fontId="6" fillId="2" borderId="52" xfId="0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top"/>
    </xf>
    <xf numFmtId="0" fontId="6" fillId="2" borderId="53" xfId="0" applyFont="1" applyFill="1" applyBorder="1" applyAlignment="1">
      <alignment horizontal="center" vertical="top"/>
    </xf>
    <xf numFmtId="0" fontId="0" fillId="2" borderId="50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2" borderId="51" xfId="0" applyFill="1" applyBorder="1" applyAlignment="1">
      <alignment horizontal="left" vertical="top" wrapText="1"/>
    </xf>
    <xf numFmtId="0" fontId="0" fillId="2" borderId="50" xfId="0" applyFill="1" applyBorder="1" applyAlignment="1">
      <alignment vertical="top" wrapText="1"/>
    </xf>
    <xf numFmtId="0" fontId="5" fillId="2" borderId="9" xfId="0" applyFont="1" applyFill="1" applyBorder="1" applyAlignment="1">
      <alignment vertical="top" wrapText="1"/>
    </xf>
    <xf numFmtId="0" fontId="0" fillId="2" borderId="11" xfId="0" applyFill="1" applyBorder="1" applyAlignment="1">
      <alignment horizontal="left" vertical="top" wrapText="1"/>
    </xf>
    <xf numFmtId="0" fontId="0" fillId="2" borderId="23" xfId="0" applyFill="1" applyBorder="1" applyAlignment="1">
      <alignment horizontal="left" vertical="top" wrapText="1"/>
    </xf>
    <xf numFmtId="0" fontId="0" fillId="2" borderId="15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center" vertical="top" wrapText="1"/>
    </xf>
    <xf numFmtId="0" fontId="0" fillId="2" borderId="51" xfId="0" applyFill="1" applyBorder="1" applyAlignment="1">
      <alignment horizontal="center" vertical="top" wrapText="1"/>
    </xf>
    <xf numFmtId="0" fontId="0" fillId="2" borderId="50" xfId="0" applyFill="1" applyBorder="1" applyAlignment="1">
      <alignment horizontal="center" vertical="top" wrapText="1"/>
    </xf>
    <xf numFmtId="165" fontId="16" fillId="2" borderId="9" xfId="0" applyNumberFormat="1" applyFont="1" applyFill="1" applyBorder="1" applyAlignment="1">
      <alignment horizontal="center" vertical="top" wrapText="1"/>
    </xf>
    <xf numFmtId="0" fontId="16" fillId="2" borderId="4" xfId="0" applyFont="1" applyFill="1" applyBorder="1" applyAlignment="1">
      <alignment horizontal="left" vertical="top" wrapText="1"/>
    </xf>
    <xf numFmtId="0" fontId="16" fillId="2" borderId="0" xfId="0" applyFont="1" applyFill="1" applyAlignment="1">
      <alignment horizontal="left" vertical="top" wrapText="1"/>
    </xf>
    <xf numFmtId="0" fontId="16" fillId="2" borderId="5" xfId="0" applyFont="1" applyFill="1" applyBorder="1" applyAlignment="1">
      <alignment horizontal="left" vertical="top" wrapText="1"/>
    </xf>
    <xf numFmtId="0" fontId="0" fillId="2" borderId="10" xfId="0" applyFill="1" applyBorder="1" applyAlignment="1">
      <alignment horizontal="center" vertical="top" wrapText="1"/>
    </xf>
    <xf numFmtId="0" fontId="0" fillId="2" borderId="57" xfId="0" applyFill="1" applyBorder="1" applyAlignment="1">
      <alignment horizontal="center" vertical="top" wrapText="1"/>
    </xf>
    <xf numFmtId="0" fontId="16" fillId="2" borderId="6" xfId="0" applyFont="1" applyFill="1" applyBorder="1" applyAlignment="1">
      <alignment horizontal="left" vertical="top" wrapText="1"/>
    </xf>
    <xf numFmtId="0" fontId="16" fillId="2" borderId="7" xfId="0" applyFont="1" applyFill="1" applyBorder="1" applyAlignment="1">
      <alignment horizontal="left" vertical="top" wrapText="1"/>
    </xf>
    <xf numFmtId="0" fontId="16" fillId="2" borderId="8" xfId="0" applyFont="1" applyFill="1" applyBorder="1" applyAlignment="1">
      <alignment horizontal="left" vertical="top" wrapText="1"/>
    </xf>
    <xf numFmtId="14" fontId="0" fillId="2" borderId="14" xfId="0" applyNumberFormat="1" applyFill="1" applyBorder="1" applyAlignment="1">
      <alignment vertical="top" wrapText="1"/>
    </xf>
    <xf numFmtId="166" fontId="5" fillId="2" borderId="14" xfId="0" applyNumberFormat="1" applyFont="1" applyFill="1" applyBorder="1" applyAlignment="1">
      <alignment horizontal="center" vertical="top" wrapText="1"/>
    </xf>
    <xf numFmtId="166" fontId="5" fillId="2" borderId="58" xfId="0" applyNumberFormat="1" applyFont="1" applyFill="1" applyBorder="1" applyAlignment="1">
      <alignment horizontal="center" vertical="top" wrapText="1"/>
    </xf>
    <xf numFmtId="0" fontId="0" fillId="4" borderId="50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  <xf numFmtId="0" fontId="0" fillId="4" borderId="51" xfId="0" applyFill="1" applyBorder="1" applyAlignment="1">
      <alignment horizontal="left" vertical="top" wrapText="1"/>
    </xf>
    <xf numFmtId="0" fontId="0" fillId="0" borderId="60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61" xfId="0" applyBorder="1" applyAlignment="1">
      <alignment vertical="top" wrapText="1"/>
    </xf>
    <xf numFmtId="0" fontId="0" fillId="0" borderId="50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9" xfId="0" applyBorder="1" applyAlignment="1">
      <alignment horizontal="center" vertical="top" wrapText="1"/>
    </xf>
    <xf numFmtId="0" fontId="0" fillId="0" borderId="51" xfId="0" applyBorder="1" applyAlignment="1">
      <alignment horizontal="center" wrapText="1"/>
    </xf>
    <xf numFmtId="0" fontId="0" fillId="0" borderId="6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9" xfId="0" applyBorder="1"/>
    <xf numFmtId="0" fontId="0" fillId="0" borderId="5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166" fontId="0" fillId="2" borderId="57" xfId="0" applyNumberFormat="1" applyFill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3" xfId="0" applyBorder="1" applyAlignment="1">
      <alignment horizontal="center"/>
    </xf>
    <xf numFmtId="166" fontId="0" fillId="2" borderId="64" xfId="0" applyNumberFormat="1" applyFill="1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/>
    </xf>
    <xf numFmtId="166" fontId="0" fillId="2" borderId="58" xfId="0" applyNumberFormat="1" applyFill="1" applyBorder="1" applyAlignment="1">
      <alignment horizontal="center"/>
    </xf>
    <xf numFmtId="0" fontId="1" fillId="0" borderId="6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8" fillId="4" borderId="9" xfId="0" applyFont="1" applyFill="1" applyBorder="1"/>
    <xf numFmtId="0" fontId="1" fillId="4" borderId="9" xfId="0" applyFont="1" applyFill="1" applyBorder="1"/>
    <xf numFmtId="166" fontId="1" fillId="2" borderId="51" xfId="0" applyNumberFormat="1" applyFont="1" applyFill="1" applyBorder="1"/>
    <xf numFmtId="0" fontId="1" fillId="0" borderId="6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3" xfId="0" applyFont="1" applyBorder="1"/>
    <xf numFmtId="0" fontId="1" fillId="0" borderId="65" xfId="0" applyFont="1" applyBorder="1"/>
    <xf numFmtId="0" fontId="1" fillId="0" borderId="65" xfId="0" applyFont="1" applyBorder="1" applyAlignment="1">
      <alignment horizontal="left"/>
    </xf>
    <xf numFmtId="0" fontId="1" fillId="2" borderId="5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1" fillId="0" borderId="66" xfId="0" applyFont="1" applyBorder="1" applyAlignment="1">
      <alignment horizontal="center"/>
    </xf>
    <xf numFmtId="0" fontId="1" fillId="0" borderId="67" xfId="0" applyFont="1" applyBorder="1" applyAlignment="1">
      <alignment horizontal="center"/>
    </xf>
    <xf numFmtId="0" fontId="1" fillId="0" borderId="6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1.xml"/><Relationship Id="rId5" Type="http://schemas.openxmlformats.org/officeDocument/2006/relationships/worksheet" Target="worksheets/sheet13.xml"/><Relationship Id="rId6" Type="http://schemas.openxmlformats.org/officeDocument/2006/relationships/worksheet" Target="worksheets/sheet2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45720</xdr:rowOff>
    </xdr:from>
    <xdr:to>
      <xdr:col>1</xdr:col>
      <xdr:colOff>868680</xdr:colOff>
      <xdr:row>3</xdr:row>
      <xdr:rowOff>7620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59508</xdr:colOff>
      <xdr:row>54</xdr:row>
      <xdr:rowOff>404872</xdr:rowOff>
    </xdr:from>
    <xdr:to>
      <xdr:col>1</xdr:col>
      <xdr:colOff>390071</xdr:colOff>
      <xdr:row>56</xdr:row>
      <xdr:rowOff>8708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77651</xdr:colOff>
      <xdr:row>110</xdr:row>
      <xdr:rowOff>130628</xdr:rowOff>
    </xdr:from>
    <xdr:to>
      <xdr:col>1</xdr:col>
      <xdr:colOff>892991</xdr:colOff>
      <xdr:row>111</xdr:row>
      <xdr:rowOff>17780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45720</xdr:rowOff>
    </xdr:from>
    <xdr:to>
      <xdr:col>0</xdr:col>
      <xdr:colOff>937260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R158"/>
  <sheetViews>
    <sheetView workbookViewId="0" showGridLines="0" zoomScale="84" zoomScaleNormal="100" view="pageBreakPreview">
      <selection activeCell="D25" sqref="D25"/>
    </sheetView>
  </sheetViews>
  <sheetFormatPr defaultRowHeight="14.5" outlineLevelRow="0" outlineLevelCol="0" x14ac:dyDescent="0.35" defaultColWidth="6.453125" customHeight="1"/>
  <cols>
    <col min="1" max="1" width="6.453125" customWidth="1"/>
    <col min="2" max="2" width="14.36328125" customWidth="1"/>
    <col min="3" max="3" width="17" customWidth="1"/>
    <col min="4" max="4" width="14.6328125" customWidth="1"/>
    <col min="5" max="6" width="8.90625" customWidth="1"/>
    <col min="7" max="7" width="11.54296875" customWidth="1"/>
    <col min="8" max="8" width="14.6328125" customWidth="1"/>
    <col min="9" max="9" width="5.08984375" customWidth="1"/>
    <col min="10" max="10" width="5.36328125" customWidth="1"/>
    <col min="11" max="11" width="10.90625" customWidth="1"/>
    <col min="12" max="12" width="11.6328125" customWidth="1"/>
    <col min="13" max="13" width="13.08984375" customWidth="1"/>
    <col min="14" max="14" width="22.08984375" customWidth="1"/>
    <col min="15" max="15" width="21.08984375" customWidth="1"/>
    <col min="16" max="16" width="16.6328125" customWidth="1"/>
    <col min="17" max="17" width="28.453125" customWidth="1"/>
    <col min="18" max="255" width="8.90625" customWidth="1"/>
  </cols>
  <sheetData>
    <row r="4" spans="1:1" x14ac:dyDescent="0.25">
      <c r="A4" t="s">
        <v>54</v>
      </c>
    </row>
    <row r="5" spans="1:8" x14ac:dyDescent="0.25">
      <c r="A5" s="53" t="s">
        <v>55</v>
      </c>
      <c r="B5" s="53"/>
      <c r="C5" s="53"/>
      <c r="D5" s="53"/>
      <c r="E5" s="53"/>
      <c r="F5" s="53"/>
      <c r="G5" s="53"/>
      <c r="H5" s="53"/>
    </row>
    <row r="6" spans="1:8" x14ac:dyDescent="0.25">
      <c r="A6" s="53"/>
      <c r="B6" s="53"/>
      <c r="C6" s="53"/>
      <c r="D6" s="53"/>
      <c r="E6" s="53"/>
      <c r="F6" s="53"/>
      <c r="G6" s="53"/>
      <c r="H6" s="53"/>
    </row>
    <row r="7" ht="13" customHeight="1" spans="1:8" s="54" customFormat="1" x14ac:dyDescent="0.25">
      <c r="A7" s="53"/>
      <c r="B7" s="53"/>
      <c r="C7" s="53"/>
      <c r="D7" s="53"/>
      <c r="E7" s="53"/>
      <c r="F7" s="53"/>
      <c r="G7" s="53"/>
      <c r="H7" s="53"/>
    </row>
    <row r="8" ht="8" customHeight="1" spans="1:8" x14ac:dyDescent="0.25">
      <c r="A8" s="55"/>
      <c r="B8" s="55"/>
      <c r="C8" s="55"/>
      <c r="D8" s="55"/>
      <c r="E8" s="55"/>
      <c r="F8" s="55"/>
      <c r="G8" s="55"/>
      <c r="H8" s="55"/>
    </row>
    <row r="9" ht="16" customHeight="1" spans="1:17" x14ac:dyDescent="0.25">
      <c r="A9" s="56" t="s">
        <v>56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8"/>
    </row>
    <row r="10" ht="15.5" customHeight="1" spans="1:17" x14ac:dyDescent="0.25">
      <c r="A10" s="59" t="s">
        <v>57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1"/>
      <c r="Q10" s="62" t="s">
        <v>58</v>
      </c>
    </row>
    <row r="11" ht="6.75" customHeight="1" spans="1:17" x14ac:dyDescent="0.25">
      <c r="A11" s="63" t="s">
        <v>59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5"/>
      <c r="Q11" s="66">
        <v>2026</v>
      </c>
    </row>
    <row r="12" ht="6.75" customHeight="1" spans="1:17" x14ac:dyDescent="0.25">
      <c r="A12" s="67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9"/>
      <c r="Q12" s="70"/>
    </row>
    <row r="13" ht="15.5" customHeight="1" spans="1:17" x14ac:dyDescent="0.25">
      <c r="A13" s="59" t="s">
        <v>60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1"/>
      <c r="O13" s="71" t="s">
        <v>61</v>
      </c>
      <c r="P13" s="72"/>
      <c r="Q13" s="73"/>
    </row>
    <row r="14" ht="12.75" customHeight="1" spans="1:17" x14ac:dyDescent="0.25">
      <c r="A14" s="74" t="s">
        <v>1</v>
      </c>
      <c r="B14" s="75"/>
      <c r="C14" s="76" t="str">
        <f>MEMORIA!B2</f>
        <v>EDI CÔNEGO FERNANDES PINHEIRO</v>
      </c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7"/>
      <c r="O14" s="78">
        <f>MEMORIA!B3</f>
        <v>1294812000150</v>
      </c>
      <c r="P14" s="79"/>
      <c r="Q14" s="80"/>
    </row>
    <row r="15" ht="15.5" customHeight="1" spans="1:17" x14ac:dyDescent="0.25">
      <c r="A15" s="59" t="s">
        <v>62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1"/>
      <c r="O15" s="71" t="s">
        <v>63</v>
      </c>
      <c r="P15" s="73"/>
      <c r="Q15" s="81" t="s">
        <v>64</v>
      </c>
    </row>
    <row r="16" ht="6.75" customHeight="1" spans="1:17" x14ac:dyDescent="0.25">
      <c r="A16" s="82" t="str">
        <f>MEMORIA!B4</f>
        <v>RUA SEBASTIAN BACH S/Nº , JARDIM AMÉRICA - CEP: 21240370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4"/>
      <c r="O16" s="85" t="s">
        <v>65</v>
      </c>
      <c r="P16" s="61"/>
      <c r="Q16" s="86" t="s">
        <v>66</v>
      </c>
    </row>
    <row r="17" ht="7.5" customHeight="1" spans="1:17" x14ac:dyDescent="0.25">
      <c r="A17" s="87"/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9"/>
      <c r="O17" s="90"/>
      <c r="P17" s="91"/>
      <c r="Q17" s="92"/>
    </row>
    <row r="18" ht="6" customHeight="1" spans="1:17" x14ac:dyDescent="0.25">
      <c r="A18" s="93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</row>
    <row r="19" ht="16" customHeight="1" spans="1:17" x14ac:dyDescent="0.25">
      <c r="A19" s="94" t="s">
        <v>67</v>
      </c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6"/>
    </row>
    <row r="20" ht="15.5" customHeight="1" spans="1:17" x14ac:dyDescent="0.25">
      <c r="A20" s="97" t="s">
        <v>68</v>
      </c>
      <c r="B20" s="98"/>
      <c r="C20" s="99"/>
      <c r="D20" s="71" t="s">
        <v>69</v>
      </c>
      <c r="E20" s="72"/>
      <c r="F20" s="72"/>
      <c r="G20" s="73"/>
      <c r="H20" s="71" t="s">
        <v>70</v>
      </c>
      <c r="I20" s="72"/>
      <c r="J20" s="72"/>
      <c r="K20" s="72"/>
      <c r="L20" s="72"/>
      <c r="M20" s="73"/>
      <c r="N20" s="71" t="s">
        <v>71</v>
      </c>
      <c r="O20" s="73"/>
      <c r="P20" s="100" t="s">
        <v>72</v>
      </c>
      <c r="Q20" s="101"/>
    </row>
    <row r="21" ht="15" customHeight="1" spans="1:18" x14ac:dyDescent="0.25">
      <c r="A21" s="102" t="s">
        <v>73</v>
      </c>
      <c r="B21" s="103"/>
      <c r="C21" s="104" t="s">
        <v>74</v>
      </c>
      <c r="D21" s="105" t="s">
        <v>73</v>
      </c>
      <c r="E21" s="103"/>
      <c r="F21" s="105" t="s">
        <v>74</v>
      </c>
      <c r="G21" s="103"/>
      <c r="H21" s="105" t="s">
        <v>73</v>
      </c>
      <c r="I21" s="104"/>
      <c r="J21" s="103"/>
      <c r="K21" s="106" t="s">
        <v>74</v>
      </c>
      <c r="L21" s="107"/>
      <c r="M21" s="108"/>
      <c r="N21" s="109" t="s">
        <v>73</v>
      </c>
      <c r="O21" s="103" t="s">
        <v>74</v>
      </c>
      <c r="P21" s="104" t="s">
        <v>73</v>
      </c>
      <c r="Q21" s="110" t="s">
        <v>74</v>
      </c>
      <c r="R21" s="111"/>
    </row>
    <row r="22" ht="21" customHeight="1" spans="1:17" x14ac:dyDescent="0.25">
      <c r="A22" s="112">
        <f>MEMORIA!C28</f>
        <v>0</v>
      </c>
      <c r="B22" s="113"/>
      <c r="C22" s="114">
        <f>MEMORIA!G28</f>
        <v>0</v>
      </c>
      <c r="D22" s="115">
        <f>MEMORIA!C31</f>
        <v>0</v>
      </c>
      <c r="E22" s="113"/>
      <c r="F22" s="115">
        <f>MEMORIA!G31</f>
        <v>0</v>
      </c>
      <c r="G22" s="113"/>
      <c r="H22" s="115">
        <f>MEMORIA!C33</f>
        <v>0</v>
      </c>
      <c r="I22" s="116"/>
      <c r="J22" s="116"/>
      <c r="K22" s="115">
        <f>MEMORIA!G33</f>
        <v>0</v>
      </c>
      <c r="L22" s="116"/>
      <c r="M22" s="113"/>
      <c r="N22" s="117">
        <f>MEMORIA!C32</f>
        <v>0</v>
      </c>
      <c r="O22" s="113">
        <f>MEMORIA!G32</f>
        <v>0</v>
      </c>
      <c r="P22" s="117">
        <f>MEMORIA!C34</f>
        <v>0</v>
      </c>
      <c r="Q22" s="118">
        <f>MEMORIA!G34</f>
        <v>0</v>
      </c>
    </row>
    <row r="23" ht="15.5" customHeight="1" spans="1:17" x14ac:dyDescent="0.25">
      <c r="A23" s="97" t="s">
        <v>75</v>
      </c>
      <c r="B23" s="98"/>
      <c r="C23" s="99"/>
      <c r="D23" s="119" t="s">
        <v>76</v>
      </c>
      <c r="E23" s="120"/>
      <c r="F23" s="120"/>
      <c r="G23" s="121"/>
      <c r="H23" s="122" t="s">
        <v>77</v>
      </c>
      <c r="I23" s="123"/>
      <c r="J23" s="123"/>
      <c r="K23" s="123"/>
      <c r="L23" s="124"/>
      <c r="M23" s="125" t="s">
        <v>78</v>
      </c>
      <c r="N23" s="126"/>
      <c r="O23" s="122" t="s">
        <v>79</v>
      </c>
      <c r="P23" s="123"/>
      <c r="Q23" s="127" t="s">
        <v>80</v>
      </c>
    </row>
    <row r="24" ht="15" customHeight="1" spans="1:17" x14ac:dyDescent="0.25">
      <c r="A24" s="102" t="s">
        <v>73</v>
      </c>
      <c r="B24" s="103"/>
      <c r="C24" s="104" t="s">
        <v>74</v>
      </c>
      <c r="D24" s="105" t="s">
        <v>73</v>
      </c>
      <c r="E24" s="103"/>
      <c r="F24" s="104" t="s">
        <v>74</v>
      </c>
      <c r="G24" s="103"/>
      <c r="H24" s="105" t="s">
        <v>73</v>
      </c>
      <c r="I24" s="104"/>
      <c r="J24" s="103"/>
      <c r="K24" s="105" t="s">
        <v>74</v>
      </c>
      <c r="L24" s="103"/>
      <c r="M24" s="128" t="s">
        <v>73</v>
      </c>
      <c r="N24" s="129" t="s">
        <v>74</v>
      </c>
      <c r="O24" s="130" t="s">
        <v>81</v>
      </c>
      <c r="P24" s="131"/>
      <c r="Q24" s="132">
        <v>1</v>
      </c>
    </row>
    <row r="25" ht="21" customHeight="1" spans="1:17" x14ac:dyDescent="0.25">
      <c r="A25" s="133">
        <f>A22+D22+H22+N22-P22</f>
        <v>0</v>
      </c>
      <c r="B25" s="134"/>
      <c r="C25" s="135">
        <f>C22+F22+K22+O22-Q22</f>
        <v>0</v>
      </c>
      <c r="D25" s="136">
        <f>SUMIF(K30:K151,"=CUSTEIO",Q30:Q151)</f>
        <v>0</v>
      </c>
      <c r="E25" s="136"/>
      <c r="F25" s="136">
        <f>SUMIF(K30:K151,"=CAPITAL",Q30:Q151)</f>
        <v>0</v>
      </c>
      <c r="G25" s="136"/>
      <c r="H25" s="135">
        <f>SUM(A25-D25-M25)</f>
        <v>0</v>
      </c>
      <c r="I25" s="135"/>
      <c r="J25" s="135"/>
      <c r="K25" s="137">
        <f>SUM(C25-F25-N25)</f>
        <v>0</v>
      </c>
      <c r="L25" s="134"/>
      <c r="M25" s="134">
        <f>MEMORIA!C36</f>
        <v>0</v>
      </c>
      <c r="N25" s="138">
        <f>MEMORIA!G36</f>
        <v>0</v>
      </c>
      <c r="O25" s="139"/>
      <c r="P25" s="140"/>
      <c r="Q25" s="141"/>
    </row>
    <row r="26" ht="6.75" customHeight="1" x14ac:dyDescent="0.25"/>
    <row r="27" ht="15" customHeight="1" spans="1:17" x14ac:dyDescent="0.25">
      <c r="A27" s="142" t="s">
        <v>82</v>
      </c>
      <c r="B27" s="143"/>
      <c r="C27" s="143"/>
      <c r="D27" s="143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5"/>
    </row>
    <row r="28" ht="14.25" customHeight="1" spans="1:17" x14ac:dyDescent="0.25">
      <c r="A28" s="146" t="s">
        <v>83</v>
      </c>
      <c r="B28" s="147" t="s">
        <v>84</v>
      </c>
      <c r="C28" s="148"/>
      <c r="D28" s="149"/>
      <c r="E28" s="150" t="s">
        <v>85</v>
      </c>
      <c r="F28" s="151"/>
      <c r="G28" s="151"/>
      <c r="H28" s="152"/>
      <c r="I28" s="153" t="s">
        <v>86</v>
      </c>
      <c r="J28" s="154"/>
      <c r="K28" s="155" t="s">
        <v>87</v>
      </c>
      <c r="L28" s="156" t="s">
        <v>88</v>
      </c>
      <c r="M28" s="157"/>
      <c r="N28" s="157"/>
      <c r="O28" s="147" t="s">
        <v>89</v>
      </c>
      <c r="P28" s="149"/>
      <c r="Q28" s="158" t="s">
        <v>90</v>
      </c>
    </row>
    <row r="29" ht="15.5" customHeight="1" spans="1:17" x14ac:dyDescent="0.25">
      <c r="A29" s="159"/>
      <c r="B29" s="160"/>
      <c r="C29" s="161"/>
      <c r="D29" s="162"/>
      <c r="E29" s="163" t="s">
        <v>91</v>
      </c>
      <c r="F29" s="164"/>
      <c r="G29" s="164"/>
      <c r="H29" s="165"/>
      <c r="I29" s="166"/>
      <c r="J29" s="167"/>
      <c r="K29" s="168"/>
      <c r="L29" s="156" t="s">
        <v>92</v>
      </c>
      <c r="M29" s="147" t="s">
        <v>93</v>
      </c>
      <c r="N29" s="169" t="s">
        <v>94</v>
      </c>
      <c r="O29" s="170" t="s">
        <v>95</v>
      </c>
      <c r="P29" s="170" t="s">
        <v>94</v>
      </c>
      <c r="Q29" s="171"/>
    </row>
    <row r="30" ht="20.25" customHeight="1" spans="1:17" x14ac:dyDescent="0.25">
      <c r="A30" s="172">
        <v>1</v>
      </c>
      <c r="B30" s="173"/>
      <c r="C30" s="173"/>
      <c r="D30" s="173"/>
      <c r="E30" s="173"/>
      <c r="F30" s="173"/>
      <c r="G30" s="173"/>
      <c r="H30" s="173"/>
      <c r="I30" s="174" t="s">
        <v>96</v>
      </c>
      <c r="J30" s="174"/>
      <c r="K30" s="175" t="s">
        <v>26</v>
      </c>
      <c r="L30" s="175"/>
      <c r="M30" s="176"/>
      <c r="N30" s="177"/>
      <c r="O30" s="178"/>
      <c r="P30" s="179"/>
      <c r="Q30" s="180"/>
    </row>
    <row r="31" ht="20.25" customHeight="1" spans="1:17" x14ac:dyDescent="0.25">
      <c r="A31" s="172"/>
      <c r="B31" s="173"/>
      <c r="C31" s="173"/>
      <c r="D31" s="173"/>
      <c r="E31" s="173"/>
      <c r="F31" s="173"/>
      <c r="G31" s="173"/>
      <c r="H31" s="173"/>
      <c r="I31" s="174"/>
      <c r="J31" s="174"/>
      <c r="K31" s="175"/>
      <c r="L31" s="175"/>
      <c r="M31" s="181"/>
      <c r="N31" s="177"/>
      <c r="O31" s="178"/>
      <c r="P31" s="182"/>
      <c r="Q31" s="180"/>
    </row>
    <row r="32" ht="20.25" customHeight="1" spans="1:17" x14ac:dyDescent="0.25">
      <c r="A32" s="183">
        <v>2</v>
      </c>
      <c r="B32" s="173"/>
      <c r="C32" s="173"/>
      <c r="D32" s="173"/>
      <c r="E32" s="173"/>
      <c r="F32" s="173"/>
      <c r="G32" s="173"/>
      <c r="H32" s="173"/>
      <c r="I32" s="174" t="s">
        <v>96</v>
      </c>
      <c r="J32" s="174"/>
      <c r="K32" s="175"/>
      <c r="L32" s="175"/>
      <c r="M32" s="176"/>
      <c r="N32" s="177"/>
      <c r="O32" s="178"/>
      <c r="P32" s="179"/>
      <c r="Q32" s="184"/>
    </row>
    <row r="33" ht="20.25" customHeight="1" spans="1:17" x14ac:dyDescent="0.25">
      <c r="A33" s="185"/>
      <c r="B33" s="173"/>
      <c r="C33" s="173"/>
      <c r="D33" s="173"/>
      <c r="E33" s="173"/>
      <c r="F33" s="173"/>
      <c r="G33" s="173"/>
      <c r="H33" s="173"/>
      <c r="I33" s="174"/>
      <c r="J33" s="174"/>
      <c r="K33" s="175"/>
      <c r="L33" s="175"/>
      <c r="M33" s="181"/>
      <c r="N33" s="177"/>
      <c r="O33" s="178"/>
      <c r="P33" s="182"/>
      <c r="Q33" s="184"/>
    </row>
    <row r="34" ht="20.25" customHeight="1" spans="1:17" x14ac:dyDescent="0.25">
      <c r="A34" s="183">
        <v>3</v>
      </c>
      <c r="B34" s="173"/>
      <c r="C34" s="173"/>
      <c r="D34" s="173"/>
      <c r="E34" s="173"/>
      <c r="F34" s="173"/>
      <c r="G34" s="173"/>
      <c r="H34" s="173"/>
      <c r="I34" s="174" t="s">
        <v>96</v>
      </c>
      <c r="J34" s="174"/>
      <c r="K34" s="175"/>
      <c r="L34" s="175"/>
      <c r="M34" s="176"/>
      <c r="N34" s="177"/>
      <c r="O34" s="178"/>
      <c r="P34" s="179"/>
      <c r="Q34" s="184"/>
    </row>
    <row r="35" ht="20.25" customHeight="1" spans="1:17" x14ac:dyDescent="0.25">
      <c r="A35" s="185"/>
      <c r="B35" s="173"/>
      <c r="C35" s="173"/>
      <c r="D35" s="173"/>
      <c r="E35" s="173"/>
      <c r="F35" s="173"/>
      <c r="G35" s="173"/>
      <c r="H35" s="173"/>
      <c r="I35" s="174"/>
      <c r="J35" s="174"/>
      <c r="K35" s="175"/>
      <c r="L35" s="175"/>
      <c r="M35" s="181"/>
      <c r="N35" s="177"/>
      <c r="O35" s="178"/>
      <c r="P35" s="182"/>
      <c r="Q35" s="184"/>
    </row>
    <row r="36" ht="20.25" customHeight="1" spans="1:17" x14ac:dyDescent="0.25">
      <c r="A36" s="183">
        <v>4</v>
      </c>
      <c r="B36" s="173"/>
      <c r="C36" s="173"/>
      <c r="D36" s="173"/>
      <c r="E36" s="173"/>
      <c r="F36" s="173"/>
      <c r="G36" s="173"/>
      <c r="H36" s="173"/>
      <c r="I36" s="174" t="s">
        <v>96</v>
      </c>
      <c r="J36" s="174"/>
      <c r="K36" s="175"/>
      <c r="L36" s="175"/>
      <c r="M36" s="176"/>
      <c r="N36" s="177"/>
      <c r="O36" s="178"/>
      <c r="P36" s="179"/>
      <c r="Q36" s="184"/>
    </row>
    <row r="37" ht="20.25" customHeight="1" spans="1:17" x14ac:dyDescent="0.25">
      <c r="A37" s="185"/>
      <c r="B37" s="173"/>
      <c r="C37" s="173"/>
      <c r="D37" s="173"/>
      <c r="E37" s="173"/>
      <c r="F37" s="173"/>
      <c r="G37" s="173"/>
      <c r="H37" s="173"/>
      <c r="I37" s="174"/>
      <c r="J37" s="174"/>
      <c r="K37" s="175"/>
      <c r="L37" s="175"/>
      <c r="M37" s="181"/>
      <c r="N37" s="177"/>
      <c r="O37" s="178"/>
      <c r="P37" s="182"/>
      <c r="Q37" s="184"/>
    </row>
    <row r="38" ht="20.25" customHeight="1" spans="1:17" x14ac:dyDescent="0.25">
      <c r="A38" s="183">
        <v>5</v>
      </c>
      <c r="B38" s="173"/>
      <c r="C38" s="173"/>
      <c r="D38" s="173"/>
      <c r="E38" s="173"/>
      <c r="F38" s="173"/>
      <c r="G38" s="173"/>
      <c r="H38" s="173"/>
      <c r="I38" s="174" t="s">
        <v>96</v>
      </c>
      <c r="J38" s="174"/>
      <c r="K38" s="175"/>
      <c r="L38" s="175"/>
      <c r="M38" s="176"/>
      <c r="N38" s="177"/>
      <c r="O38" s="178"/>
      <c r="P38" s="179"/>
      <c r="Q38" s="184"/>
    </row>
    <row r="39" ht="20.25" customHeight="1" spans="1:17" x14ac:dyDescent="0.25">
      <c r="A39" s="185"/>
      <c r="B39" s="173"/>
      <c r="C39" s="173"/>
      <c r="D39" s="173"/>
      <c r="E39" s="173"/>
      <c r="F39" s="173"/>
      <c r="G39" s="173"/>
      <c r="H39" s="173"/>
      <c r="I39" s="174"/>
      <c r="J39" s="174"/>
      <c r="K39" s="175"/>
      <c r="L39" s="175"/>
      <c r="M39" s="181"/>
      <c r="N39" s="177"/>
      <c r="O39" s="178"/>
      <c r="P39" s="182"/>
      <c r="Q39" s="184"/>
    </row>
    <row r="40" ht="20.25" customHeight="1" spans="1:17" x14ac:dyDescent="0.25">
      <c r="A40" s="183">
        <v>6</v>
      </c>
      <c r="B40" s="173"/>
      <c r="C40" s="173"/>
      <c r="D40" s="173"/>
      <c r="E40" s="173"/>
      <c r="F40" s="173"/>
      <c r="G40" s="173"/>
      <c r="H40" s="173"/>
      <c r="I40" s="174" t="s">
        <v>96</v>
      </c>
      <c r="J40" s="174"/>
      <c r="K40" s="175"/>
      <c r="L40" s="175"/>
      <c r="M40" s="176"/>
      <c r="N40" s="177"/>
      <c r="O40" s="178"/>
      <c r="P40" s="179"/>
      <c r="Q40" s="184"/>
    </row>
    <row r="41" ht="20.25" customHeight="1" spans="1:17" x14ac:dyDescent="0.25">
      <c r="A41" s="185"/>
      <c r="B41" s="173"/>
      <c r="C41" s="173"/>
      <c r="D41" s="173"/>
      <c r="E41" s="173"/>
      <c r="F41" s="173"/>
      <c r="G41" s="173"/>
      <c r="H41" s="173"/>
      <c r="I41" s="174"/>
      <c r="J41" s="174"/>
      <c r="K41" s="175"/>
      <c r="L41" s="175"/>
      <c r="M41" s="181"/>
      <c r="N41" s="177"/>
      <c r="O41" s="178"/>
      <c r="P41" s="182"/>
      <c r="Q41" s="184"/>
    </row>
    <row r="42" ht="20.25" customHeight="1" spans="1:17" x14ac:dyDescent="0.25">
      <c r="A42" s="186">
        <v>7</v>
      </c>
      <c r="B42" s="173"/>
      <c r="C42" s="173"/>
      <c r="D42" s="173"/>
      <c r="E42" s="173"/>
      <c r="F42" s="173"/>
      <c r="G42" s="173"/>
      <c r="H42" s="173"/>
      <c r="I42" s="174" t="s">
        <v>96</v>
      </c>
      <c r="J42" s="174"/>
      <c r="K42" s="175"/>
      <c r="L42" s="175"/>
      <c r="M42" s="176"/>
      <c r="N42" s="177"/>
      <c r="O42" s="178"/>
      <c r="P42" s="179"/>
      <c r="Q42" s="184"/>
    </row>
    <row r="43" ht="20.25" customHeight="1" spans="1:17" x14ac:dyDescent="0.25">
      <c r="A43" s="187"/>
      <c r="B43" s="173"/>
      <c r="C43" s="173"/>
      <c r="D43" s="173"/>
      <c r="E43" s="173"/>
      <c r="F43" s="173"/>
      <c r="G43" s="173"/>
      <c r="H43" s="173"/>
      <c r="I43" s="174"/>
      <c r="J43" s="174"/>
      <c r="K43" s="175"/>
      <c r="L43" s="175"/>
      <c r="M43" s="181"/>
      <c r="N43" s="177"/>
      <c r="O43" s="178"/>
      <c r="P43" s="182"/>
      <c r="Q43" s="184"/>
    </row>
    <row r="44" ht="20.25" customHeight="1" spans="1:17" x14ac:dyDescent="0.25">
      <c r="A44" s="186">
        <v>8</v>
      </c>
      <c r="B44" s="188"/>
      <c r="C44" s="188"/>
      <c r="D44" s="188"/>
      <c r="E44" s="188"/>
      <c r="F44" s="189"/>
      <c r="G44" s="189"/>
      <c r="H44" s="189"/>
      <c r="I44" s="190" t="s">
        <v>96</v>
      </c>
      <c r="J44" s="190"/>
      <c r="K44" s="191"/>
      <c r="L44" s="191"/>
      <c r="M44" s="192"/>
      <c r="N44" s="193"/>
      <c r="O44" s="194"/>
      <c r="P44" s="195"/>
      <c r="Q44" s="196"/>
    </row>
    <row r="45" ht="20.25" customHeight="1" spans="1:17" x14ac:dyDescent="0.25">
      <c r="A45" s="187"/>
      <c r="B45" s="188"/>
      <c r="C45" s="188"/>
      <c r="D45" s="188"/>
      <c r="E45" s="189"/>
      <c r="F45" s="189"/>
      <c r="G45" s="189"/>
      <c r="H45" s="189"/>
      <c r="I45" s="190"/>
      <c r="J45" s="190"/>
      <c r="K45" s="191"/>
      <c r="L45" s="191"/>
      <c r="M45" s="197"/>
      <c r="N45" s="193"/>
      <c r="O45" s="194"/>
      <c r="P45" s="198"/>
      <c r="Q45" s="196"/>
    </row>
    <row r="46" ht="12.75" customHeight="1" spans="1:17" x14ac:dyDescent="0.25">
      <c r="A46" s="199" t="s">
        <v>97</v>
      </c>
      <c r="B46" s="200"/>
      <c r="C46" s="200"/>
      <c r="D46" s="200"/>
      <c r="E46" s="201" t="str">
        <f>IF(Q67&gt;0.1,"À tranportar","Total")</f>
        <v>Total</v>
      </c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2">
        <f>SUM(Q30:Q45)</f>
        <v>0</v>
      </c>
      <c r="Q46" s="203"/>
    </row>
    <row r="47" ht="12.75" customHeight="1" spans="1:18" x14ac:dyDescent="0.25">
      <c r="A47" s="204"/>
      <c r="B47" s="205"/>
      <c r="C47" s="205"/>
      <c r="D47" s="205"/>
      <c r="E47" s="206"/>
      <c r="F47" s="206"/>
      <c r="G47" s="206"/>
      <c r="H47" s="206"/>
      <c r="I47" s="206"/>
      <c r="J47" s="206"/>
      <c r="K47" s="206"/>
      <c r="L47" s="206"/>
      <c r="M47" s="206"/>
      <c r="N47" s="206"/>
      <c r="O47" s="206"/>
      <c r="P47" s="207"/>
      <c r="Q47" s="208"/>
      <c r="R47" s="209"/>
    </row>
    <row r="48" ht="6.75" customHeight="1" spans="1:17" x14ac:dyDescent="0.25">
      <c r="A48" s="210"/>
      <c r="B48" s="55"/>
      <c r="D48" s="211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2"/>
    </row>
    <row r="49" ht="21" customHeight="1" spans="1:17" x14ac:dyDescent="0.25">
      <c r="A49" s="213" t="s">
        <v>98</v>
      </c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5"/>
    </row>
    <row r="50" ht="13.25" customHeight="1" spans="1:17" x14ac:dyDescent="0.25">
      <c r="A50" s="216"/>
      <c r="B50" s="217"/>
      <c r="C50" s="217"/>
      <c r="D50" s="217"/>
      <c r="E50" s="217"/>
      <c r="F50" s="217"/>
      <c r="G50" s="217"/>
      <c r="H50" s="217"/>
      <c r="I50" s="217"/>
      <c r="J50" s="217"/>
      <c r="K50" s="217"/>
      <c r="L50" s="217"/>
      <c r="M50" s="217"/>
      <c r="N50" s="217"/>
      <c r="O50" s="217"/>
      <c r="P50" s="217"/>
      <c r="Q50" s="218"/>
    </row>
    <row r="51" ht="20" customHeight="1" spans="1:17" x14ac:dyDescent="0.25">
      <c r="A51" s="219" t="s">
        <v>99</v>
      </c>
      <c r="B51" s="220"/>
      <c r="C51" s="220"/>
      <c r="D51" s="220"/>
      <c r="E51" s="220"/>
      <c r="F51" s="220"/>
      <c r="G51" s="221"/>
      <c r="H51" s="220" t="str">
        <f>MEMORIA!A52</f>
        <v>ODETTE DOS SANTOS SACRAMENTO TERREZO FARDILHA</v>
      </c>
      <c r="I51" s="220"/>
      <c r="J51" s="220"/>
      <c r="K51" s="220"/>
      <c r="L51" s="220"/>
      <c r="M51" s="220"/>
      <c r="N51" s="220"/>
      <c r="O51" s="222"/>
      <c r="P51" s="222"/>
      <c r="Q51" s="223"/>
    </row>
    <row r="52" ht="20" customHeight="1" spans="1:17" x14ac:dyDescent="0.25">
      <c r="A52" s="224"/>
      <c r="B52" s="225" t="s">
        <v>100</v>
      </c>
      <c r="C52" s="225"/>
      <c r="D52" s="225"/>
      <c r="E52" s="225"/>
      <c r="F52" s="225"/>
      <c r="G52" s="226"/>
      <c r="H52" s="227" t="s">
        <v>101</v>
      </c>
      <c r="I52" s="227"/>
      <c r="J52" s="227"/>
      <c r="K52" s="227"/>
      <c r="L52" s="227"/>
      <c r="M52" s="227"/>
      <c r="N52" s="227"/>
      <c r="O52" s="228" t="s">
        <v>102</v>
      </c>
      <c r="P52" s="228"/>
      <c r="Q52" s="229"/>
    </row>
    <row r="53" ht="20" customHeight="1" spans="1:17" x14ac:dyDescent="0.25">
      <c r="A53" s="230"/>
      <c r="B53" s="231"/>
      <c r="C53" s="231"/>
      <c r="D53" s="231"/>
      <c r="E53" s="231"/>
      <c r="F53" s="231"/>
      <c r="G53" s="230"/>
      <c r="H53" s="231"/>
      <c r="I53" s="231"/>
      <c r="J53" s="231"/>
      <c r="K53" s="231"/>
      <c r="L53" s="231"/>
      <c r="M53" s="231"/>
      <c r="N53" s="231"/>
      <c r="O53" s="232"/>
      <c r="P53" s="232"/>
      <c r="Q53" s="233"/>
    </row>
    <row r="55" ht="45.65" customHeight="1" x14ac:dyDescent="0.25"/>
    <row r="56" ht="26" customHeight="1" x14ac:dyDescent="0.25"/>
    <row r="57" spans="1:8" x14ac:dyDescent="0.25">
      <c r="A57" s="53" t="s">
        <v>55</v>
      </c>
      <c r="B57" s="53"/>
      <c r="C57" s="53"/>
      <c r="D57" s="53"/>
      <c r="E57" s="53"/>
      <c r="F57" s="53"/>
      <c r="G57" s="53"/>
      <c r="H57" s="53"/>
    </row>
    <row r="58" spans="1:8" x14ac:dyDescent="0.25">
      <c r="A58" s="53"/>
      <c r="B58" s="53"/>
      <c r="C58" s="53"/>
      <c r="D58" s="53"/>
      <c r="E58" s="53"/>
      <c r="F58" s="53"/>
      <c r="G58" s="53"/>
      <c r="H58" s="53"/>
    </row>
    <row r="59" spans="1:8" x14ac:dyDescent="0.25">
      <c r="A59" s="53"/>
      <c r="B59" s="53"/>
      <c r="C59" s="53"/>
      <c r="D59" s="53"/>
      <c r="E59" s="53"/>
      <c r="F59" s="53"/>
      <c r="G59" s="53"/>
      <c r="H59" s="53"/>
    </row>
    <row r="62" ht="15.5" customHeight="1" spans="1:17" x14ac:dyDescent="0.25">
      <c r="A62" s="234" t="s">
        <v>103</v>
      </c>
      <c r="B62" s="235"/>
      <c r="C62" s="235"/>
      <c r="D62" s="235"/>
      <c r="E62" s="236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5"/>
    </row>
    <row r="63" ht="15.5" customHeight="1" spans="1:17" x14ac:dyDescent="0.25">
      <c r="A63" s="146" t="s">
        <v>83</v>
      </c>
      <c r="B63" s="147" t="s">
        <v>84</v>
      </c>
      <c r="C63" s="148"/>
      <c r="D63" s="149"/>
      <c r="E63" s="237" t="s">
        <v>104</v>
      </c>
      <c r="F63" s="238"/>
      <c r="G63" s="238"/>
      <c r="H63" s="239"/>
      <c r="I63" s="153" t="s">
        <v>86</v>
      </c>
      <c r="J63" s="154"/>
      <c r="K63" s="155" t="s">
        <v>87</v>
      </c>
      <c r="L63" s="156" t="s">
        <v>88</v>
      </c>
      <c r="M63" s="157"/>
      <c r="N63" s="240"/>
      <c r="O63" s="169" t="s">
        <v>89</v>
      </c>
      <c r="P63" s="169"/>
      <c r="Q63" s="158"/>
    </row>
    <row r="64" ht="15.5" customHeight="1" spans="1:17" x14ac:dyDescent="0.25">
      <c r="A64" s="159"/>
      <c r="B64" s="160"/>
      <c r="C64" s="161"/>
      <c r="D64" s="162"/>
      <c r="E64" s="241" t="s">
        <v>105</v>
      </c>
      <c r="F64" s="242"/>
      <c r="G64" s="242"/>
      <c r="H64" s="243"/>
      <c r="I64" s="166"/>
      <c r="J64" s="167"/>
      <c r="K64" s="168"/>
      <c r="L64" s="156" t="s">
        <v>92</v>
      </c>
      <c r="M64" s="169" t="s">
        <v>93</v>
      </c>
      <c r="N64" s="240" t="s">
        <v>94</v>
      </c>
      <c r="O64" s="170" t="s">
        <v>95</v>
      </c>
      <c r="P64" s="170" t="s">
        <v>94</v>
      </c>
      <c r="Q64" s="171"/>
    </row>
    <row r="65" ht="15.5" customHeight="1" spans="1:17" x14ac:dyDescent="0.25">
      <c r="A65" s="244"/>
      <c r="B65" s="245"/>
      <c r="C65" s="246"/>
      <c r="D65" s="247"/>
      <c r="E65" s="246"/>
      <c r="F65" s="246"/>
      <c r="G65" s="246"/>
      <c r="H65" s="246"/>
      <c r="I65" s="245"/>
      <c r="J65" s="247"/>
      <c r="K65" s="248"/>
      <c r="L65" s="248"/>
      <c r="M65" s="249"/>
      <c r="N65" s="250"/>
      <c r="O65" s="251" t="s">
        <v>106</v>
      </c>
      <c r="P65" s="252"/>
      <c r="Q65" s="253"/>
    </row>
    <row r="66" ht="15.5" customHeight="1" spans="1:17" x14ac:dyDescent="0.25">
      <c r="A66" s="254"/>
      <c r="B66" s="255"/>
      <c r="C66" s="256"/>
      <c r="D66" s="257"/>
      <c r="E66" s="256"/>
      <c r="F66" s="256"/>
      <c r="G66" s="256"/>
      <c r="H66" s="256"/>
      <c r="I66" s="255"/>
      <c r="J66" s="257"/>
      <c r="K66" s="258"/>
      <c r="L66" s="258"/>
      <c r="M66" s="259"/>
      <c r="N66" s="260"/>
      <c r="O66" s="261"/>
      <c r="P66" s="262"/>
      <c r="Q66" s="263">
        <f>P46</f>
        <v>0</v>
      </c>
    </row>
    <row r="67" spans="1:17" x14ac:dyDescent="0.25">
      <c r="A67" s="264">
        <v>9</v>
      </c>
      <c r="B67" s="188"/>
      <c r="C67" s="188"/>
      <c r="D67" s="188"/>
      <c r="E67" s="188"/>
      <c r="F67" s="188"/>
      <c r="G67" s="188"/>
      <c r="H67" s="188"/>
      <c r="I67" s="174" t="s">
        <v>96</v>
      </c>
      <c r="J67" s="174"/>
      <c r="K67" s="191"/>
      <c r="L67" s="191"/>
      <c r="M67" s="194"/>
      <c r="N67" s="193"/>
      <c r="O67" s="194"/>
      <c r="P67" s="193"/>
      <c r="Q67" s="265"/>
    </row>
    <row r="68" spans="1:17" x14ac:dyDescent="0.25">
      <c r="A68" s="264"/>
      <c r="B68" s="188"/>
      <c r="C68" s="188"/>
      <c r="D68" s="188"/>
      <c r="E68" s="188"/>
      <c r="F68" s="188"/>
      <c r="G68" s="188"/>
      <c r="H68" s="188"/>
      <c r="I68" s="174"/>
      <c r="J68" s="174"/>
      <c r="K68" s="191"/>
      <c r="L68" s="191"/>
      <c r="M68" s="194"/>
      <c r="N68" s="193"/>
      <c r="O68" s="194"/>
      <c r="P68" s="193"/>
      <c r="Q68" s="265"/>
    </row>
    <row r="69" spans="1:17" x14ac:dyDescent="0.25">
      <c r="A69" s="264">
        <v>10</v>
      </c>
      <c r="B69" s="188"/>
      <c r="C69" s="188"/>
      <c r="D69" s="188"/>
      <c r="E69" s="188"/>
      <c r="F69" s="189"/>
      <c r="G69" s="189"/>
      <c r="H69" s="189"/>
      <c r="I69" s="174" t="s">
        <v>96</v>
      </c>
      <c r="J69" s="174"/>
      <c r="K69" s="191"/>
      <c r="L69" s="191"/>
      <c r="M69" s="194"/>
      <c r="N69" s="193"/>
      <c r="O69" s="194"/>
      <c r="P69" s="193"/>
      <c r="Q69" s="265"/>
    </row>
    <row r="70" spans="1:17" x14ac:dyDescent="0.25">
      <c r="A70" s="264"/>
      <c r="B70" s="188"/>
      <c r="C70" s="188"/>
      <c r="D70" s="188"/>
      <c r="E70" s="189"/>
      <c r="F70" s="189"/>
      <c r="G70" s="189"/>
      <c r="H70" s="189"/>
      <c r="I70" s="174"/>
      <c r="J70" s="174"/>
      <c r="K70" s="191"/>
      <c r="L70" s="191"/>
      <c r="M70" s="194"/>
      <c r="N70" s="193"/>
      <c r="O70" s="194"/>
      <c r="P70" s="193"/>
      <c r="Q70" s="265"/>
    </row>
    <row r="71" spans="1:17" x14ac:dyDescent="0.25">
      <c r="A71" s="264">
        <v>11</v>
      </c>
      <c r="B71" s="188"/>
      <c r="C71" s="188"/>
      <c r="D71" s="188"/>
      <c r="E71" s="188"/>
      <c r="F71" s="188"/>
      <c r="G71" s="188"/>
      <c r="H71" s="188"/>
      <c r="I71" s="174" t="s">
        <v>96</v>
      </c>
      <c r="J71" s="174"/>
      <c r="K71" s="191"/>
      <c r="L71" s="191"/>
      <c r="M71" s="194"/>
      <c r="N71" s="193"/>
      <c r="O71" s="194"/>
      <c r="P71" s="193"/>
      <c r="Q71" s="265"/>
    </row>
    <row r="72" spans="1:17" x14ac:dyDescent="0.25">
      <c r="A72" s="264"/>
      <c r="B72" s="188"/>
      <c r="C72" s="188"/>
      <c r="D72" s="188"/>
      <c r="E72" s="188"/>
      <c r="F72" s="188"/>
      <c r="G72" s="188"/>
      <c r="H72" s="188"/>
      <c r="I72" s="174"/>
      <c r="J72" s="174"/>
      <c r="K72" s="191"/>
      <c r="L72" s="191"/>
      <c r="M72" s="194"/>
      <c r="N72" s="193"/>
      <c r="O72" s="194"/>
      <c r="P72" s="193"/>
      <c r="Q72" s="265"/>
    </row>
    <row r="73" spans="1:17" x14ac:dyDescent="0.25">
      <c r="A73" s="264">
        <v>12</v>
      </c>
      <c r="B73" s="188"/>
      <c r="C73" s="188"/>
      <c r="D73" s="188"/>
      <c r="E73" s="188"/>
      <c r="F73" s="188"/>
      <c r="G73" s="188"/>
      <c r="H73" s="188"/>
      <c r="I73" s="174" t="s">
        <v>96</v>
      </c>
      <c r="J73" s="174"/>
      <c r="K73" s="191"/>
      <c r="L73" s="191"/>
      <c r="M73" s="194"/>
      <c r="N73" s="193"/>
      <c r="O73" s="194"/>
      <c r="P73" s="193"/>
      <c r="Q73" s="265"/>
    </row>
    <row r="74" spans="1:17" x14ac:dyDescent="0.25">
      <c r="A74" s="264"/>
      <c r="B74" s="188"/>
      <c r="C74" s="188"/>
      <c r="D74" s="188"/>
      <c r="E74" s="188"/>
      <c r="F74" s="188"/>
      <c r="G74" s="188"/>
      <c r="H74" s="188"/>
      <c r="I74" s="174"/>
      <c r="J74" s="174"/>
      <c r="K74" s="191"/>
      <c r="L74" s="191"/>
      <c r="M74" s="194"/>
      <c r="N74" s="193"/>
      <c r="O74" s="194"/>
      <c r="P74" s="193"/>
      <c r="Q74" s="265"/>
    </row>
    <row r="75" spans="1:17" x14ac:dyDescent="0.25">
      <c r="A75" s="264">
        <v>13</v>
      </c>
      <c r="B75" s="188"/>
      <c r="C75" s="188"/>
      <c r="D75" s="188"/>
      <c r="E75" s="188"/>
      <c r="F75" s="188"/>
      <c r="G75" s="188"/>
      <c r="H75" s="188"/>
      <c r="I75" s="174" t="s">
        <v>96</v>
      </c>
      <c r="J75" s="174"/>
      <c r="K75" s="191"/>
      <c r="L75" s="191"/>
      <c r="M75" s="194"/>
      <c r="N75" s="193"/>
      <c r="O75" s="194"/>
      <c r="P75" s="193"/>
      <c r="Q75" s="265"/>
    </row>
    <row r="76" spans="1:17" x14ac:dyDescent="0.25">
      <c r="A76" s="266"/>
      <c r="B76" s="188"/>
      <c r="C76" s="188"/>
      <c r="D76" s="188"/>
      <c r="E76" s="267"/>
      <c r="F76" s="267"/>
      <c r="G76" s="267"/>
      <c r="H76" s="267"/>
      <c r="I76" s="174"/>
      <c r="J76" s="174"/>
      <c r="K76" s="191"/>
      <c r="L76" s="191"/>
      <c r="M76" s="194"/>
      <c r="N76" s="193"/>
      <c r="O76" s="194"/>
      <c r="P76" s="193"/>
      <c r="Q76" s="265"/>
    </row>
    <row r="77" spans="1:17" x14ac:dyDescent="0.25">
      <c r="A77" s="264">
        <v>14</v>
      </c>
      <c r="B77" s="188"/>
      <c r="C77" s="188"/>
      <c r="D77" s="188"/>
      <c r="E77" s="188"/>
      <c r="F77" s="188"/>
      <c r="G77" s="188"/>
      <c r="H77" s="188"/>
      <c r="I77" s="174" t="s">
        <v>96</v>
      </c>
      <c r="J77" s="174"/>
      <c r="K77" s="191"/>
      <c r="L77" s="191"/>
      <c r="M77" s="194"/>
      <c r="N77" s="193"/>
      <c r="O77" s="194"/>
      <c r="P77" s="193"/>
      <c r="Q77" s="265"/>
    </row>
    <row r="78" spans="1:17" x14ac:dyDescent="0.25">
      <c r="A78" s="266"/>
      <c r="B78" s="188"/>
      <c r="C78" s="188"/>
      <c r="D78" s="188"/>
      <c r="E78" s="188"/>
      <c r="F78" s="188"/>
      <c r="G78" s="188"/>
      <c r="H78" s="188"/>
      <c r="I78" s="174"/>
      <c r="J78" s="174"/>
      <c r="K78" s="191"/>
      <c r="L78" s="191"/>
      <c r="M78" s="194"/>
      <c r="N78" s="193"/>
      <c r="O78" s="194"/>
      <c r="P78" s="193"/>
      <c r="Q78" s="265"/>
    </row>
    <row r="79" spans="1:17" x14ac:dyDescent="0.25">
      <c r="A79" s="264">
        <v>15</v>
      </c>
      <c r="B79" s="188"/>
      <c r="C79" s="188"/>
      <c r="D79" s="188"/>
      <c r="E79" s="188"/>
      <c r="F79" s="188"/>
      <c r="G79" s="188"/>
      <c r="H79" s="188"/>
      <c r="I79" s="174" t="s">
        <v>96</v>
      </c>
      <c r="J79" s="174"/>
      <c r="K79" s="191"/>
      <c r="L79" s="191"/>
      <c r="M79" s="194"/>
      <c r="N79" s="193"/>
      <c r="O79" s="194"/>
      <c r="P79" s="193"/>
      <c r="Q79" s="265"/>
    </row>
    <row r="80" spans="1:17" x14ac:dyDescent="0.25">
      <c r="A80" s="266"/>
      <c r="B80" s="188"/>
      <c r="C80" s="188"/>
      <c r="D80" s="188"/>
      <c r="E80" s="188"/>
      <c r="F80" s="188"/>
      <c r="G80" s="188"/>
      <c r="H80" s="188"/>
      <c r="I80" s="174"/>
      <c r="J80" s="174"/>
      <c r="K80" s="191"/>
      <c r="L80" s="191"/>
      <c r="M80" s="194"/>
      <c r="N80" s="193"/>
      <c r="O80" s="194"/>
      <c r="P80" s="193"/>
      <c r="Q80" s="265"/>
    </row>
    <row r="81" spans="1:17" x14ac:dyDescent="0.25">
      <c r="A81" s="264">
        <v>16</v>
      </c>
      <c r="B81" s="188"/>
      <c r="C81" s="188"/>
      <c r="D81" s="188"/>
      <c r="E81" s="188"/>
      <c r="F81" s="188"/>
      <c r="G81" s="188"/>
      <c r="H81" s="188"/>
      <c r="I81" s="174" t="s">
        <v>96</v>
      </c>
      <c r="J81" s="174"/>
      <c r="K81" s="191"/>
      <c r="L81" s="191"/>
      <c r="M81" s="194"/>
      <c r="N81" s="193"/>
      <c r="O81" s="194"/>
      <c r="P81" s="193"/>
      <c r="Q81" s="268"/>
    </row>
    <row r="82" spans="1:17" x14ac:dyDescent="0.25">
      <c r="A82" s="266"/>
      <c r="B82" s="188"/>
      <c r="C82" s="188"/>
      <c r="D82" s="188"/>
      <c r="E82" s="188"/>
      <c r="F82" s="188"/>
      <c r="G82" s="188"/>
      <c r="H82" s="188"/>
      <c r="I82" s="174"/>
      <c r="J82" s="174"/>
      <c r="K82" s="191"/>
      <c r="L82" s="191"/>
      <c r="M82" s="194"/>
      <c r="N82" s="193"/>
      <c r="O82" s="194"/>
      <c r="P82" s="193"/>
      <c r="Q82" s="268"/>
    </row>
    <row r="83" spans="1:17" x14ac:dyDescent="0.25">
      <c r="A83" s="269">
        <v>17</v>
      </c>
      <c r="B83" s="188"/>
      <c r="C83" s="188"/>
      <c r="D83" s="188"/>
      <c r="E83" s="188"/>
      <c r="F83" s="188"/>
      <c r="G83" s="188"/>
      <c r="H83" s="188"/>
      <c r="I83" s="174" t="s">
        <v>96</v>
      </c>
      <c r="J83" s="174"/>
      <c r="K83" s="191"/>
      <c r="L83" s="191"/>
      <c r="M83" s="194"/>
      <c r="N83" s="193"/>
      <c r="O83" s="194"/>
      <c r="P83" s="193"/>
      <c r="Q83" s="268"/>
    </row>
    <row r="84" spans="1:17" x14ac:dyDescent="0.25">
      <c r="A84" s="270"/>
      <c r="B84" s="188"/>
      <c r="C84" s="188"/>
      <c r="D84" s="188"/>
      <c r="E84" s="188"/>
      <c r="F84" s="188"/>
      <c r="G84" s="188"/>
      <c r="H84" s="188"/>
      <c r="I84" s="174"/>
      <c r="J84" s="174"/>
      <c r="K84" s="191"/>
      <c r="L84" s="191"/>
      <c r="M84" s="194"/>
      <c r="N84" s="193"/>
      <c r="O84" s="194"/>
      <c r="P84" s="193"/>
      <c r="Q84" s="268"/>
    </row>
    <row r="85" spans="1:17" x14ac:dyDescent="0.25">
      <c r="A85" s="269">
        <v>18</v>
      </c>
      <c r="B85" s="188"/>
      <c r="C85" s="188"/>
      <c r="D85" s="188"/>
      <c r="E85" s="188"/>
      <c r="F85" s="188"/>
      <c r="G85" s="188"/>
      <c r="H85" s="188"/>
      <c r="I85" s="174" t="s">
        <v>96</v>
      </c>
      <c r="J85" s="174"/>
      <c r="K85" s="191"/>
      <c r="L85" s="191"/>
      <c r="M85" s="194"/>
      <c r="N85" s="193"/>
      <c r="O85" s="194"/>
      <c r="P85" s="193"/>
      <c r="Q85" s="268"/>
    </row>
    <row r="86" spans="1:17" x14ac:dyDescent="0.25">
      <c r="A86" s="270"/>
      <c r="B86" s="188"/>
      <c r="C86" s="188"/>
      <c r="D86" s="188"/>
      <c r="E86" s="188"/>
      <c r="F86" s="188"/>
      <c r="G86" s="188"/>
      <c r="H86" s="188"/>
      <c r="I86" s="174"/>
      <c r="J86" s="174"/>
      <c r="K86" s="191"/>
      <c r="L86" s="191"/>
      <c r="M86" s="194"/>
      <c r="N86" s="193"/>
      <c r="O86" s="194"/>
      <c r="P86" s="193"/>
      <c r="Q86" s="268"/>
    </row>
    <row r="87" ht="14.4" customHeight="1" spans="1:17" x14ac:dyDescent="0.25">
      <c r="A87" s="269">
        <v>19</v>
      </c>
      <c r="B87" s="271"/>
      <c r="C87" s="271"/>
      <c r="D87" s="271"/>
      <c r="E87" s="271"/>
      <c r="F87" s="271"/>
      <c r="G87" s="271"/>
      <c r="H87" s="271"/>
      <c r="I87" s="174" t="s">
        <v>96</v>
      </c>
      <c r="J87" s="174"/>
      <c r="K87" s="191"/>
      <c r="L87" s="191"/>
      <c r="M87" s="194"/>
      <c r="N87" s="193"/>
      <c r="O87" s="194"/>
      <c r="P87" s="193"/>
      <c r="Q87" s="268"/>
    </row>
    <row r="88" ht="14.4" customHeight="1" spans="1:17" x14ac:dyDescent="0.25">
      <c r="A88" s="270"/>
      <c r="B88" s="271"/>
      <c r="C88" s="271"/>
      <c r="D88" s="271"/>
      <c r="E88" s="271"/>
      <c r="F88" s="271"/>
      <c r="G88" s="271"/>
      <c r="H88" s="271"/>
      <c r="I88" s="174"/>
      <c r="J88" s="174"/>
      <c r="K88" s="191"/>
      <c r="L88" s="191"/>
      <c r="M88" s="194"/>
      <c r="N88" s="193"/>
      <c r="O88" s="194"/>
      <c r="P88" s="193"/>
      <c r="Q88" s="268"/>
    </row>
    <row r="89" ht="14.4" customHeight="1" spans="1:17" x14ac:dyDescent="0.25">
      <c r="A89" s="269">
        <v>20</v>
      </c>
      <c r="B89" s="271"/>
      <c r="C89" s="271"/>
      <c r="D89" s="271"/>
      <c r="E89" s="271"/>
      <c r="F89" s="271"/>
      <c r="G89" s="271"/>
      <c r="H89" s="271"/>
      <c r="I89" s="174" t="s">
        <v>96</v>
      </c>
      <c r="J89" s="174"/>
      <c r="K89" s="191"/>
      <c r="L89" s="191"/>
      <c r="M89" s="194"/>
      <c r="N89" s="193"/>
      <c r="O89" s="194"/>
      <c r="P89" s="193"/>
      <c r="Q89" s="268"/>
    </row>
    <row r="90" ht="14.4" customHeight="1" spans="1:17" x14ac:dyDescent="0.25">
      <c r="A90" s="270"/>
      <c r="B90" s="271"/>
      <c r="C90" s="271"/>
      <c r="D90" s="271"/>
      <c r="E90" s="271"/>
      <c r="F90" s="271"/>
      <c r="G90" s="271"/>
      <c r="H90" s="271"/>
      <c r="I90" s="174"/>
      <c r="J90" s="174"/>
      <c r="K90" s="191"/>
      <c r="L90" s="191"/>
      <c r="M90" s="194"/>
      <c r="N90" s="193"/>
      <c r="O90" s="194"/>
      <c r="P90" s="193"/>
      <c r="Q90" s="268"/>
    </row>
    <row r="91" spans="1:17" x14ac:dyDescent="0.25">
      <c r="A91" s="269">
        <v>21</v>
      </c>
      <c r="B91" s="271"/>
      <c r="C91" s="271"/>
      <c r="D91" s="271"/>
      <c r="E91" s="271"/>
      <c r="F91" s="271"/>
      <c r="G91" s="271"/>
      <c r="H91" s="271"/>
      <c r="I91" s="174" t="s">
        <v>96</v>
      </c>
      <c r="J91" s="174"/>
      <c r="K91" s="191"/>
      <c r="L91" s="191"/>
      <c r="M91" s="194"/>
      <c r="N91" s="193"/>
      <c r="O91" s="194"/>
      <c r="P91" s="193"/>
      <c r="Q91" s="268"/>
    </row>
    <row r="92" spans="1:17" x14ac:dyDescent="0.25">
      <c r="A92" s="270"/>
      <c r="B92" s="271"/>
      <c r="C92" s="271"/>
      <c r="D92" s="271"/>
      <c r="E92" s="271"/>
      <c r="F92" s="271"/>
      <c r="G92" s="271"/>
      <c r="H92" s="271"/>
      <c r="I92" s="174"/>
      <c r="J92" s="174"/>
      <c r="K92" s="191"/>
      <c r="L92" s="191"/>
      <c r="M92" s="194"/>
      <c r="N92" s="193"/>
      <c r="O92" s="194"/>
      <c r="P92" s="193"/>
      <c r="Q92" s="268"/>
    </row>
    <row r="93" spans="1:17" x14ac:dyDescent="0.25">
      <c r="A93" s="269">
        <v>22</v>
      </c>
      <c r="B93" s="271"/>
      <c r="C93" s="271"/>
      <c r="D93" s="271"/>
      <c r="E93" s="271"/>
      <c r="F93" s="271"/>
      <c r="G93" s="271"/>
      <c r="H93" s="271"/>
      <c r="I93" s="174" t="s">
        <v>96</v>
      </c>
      <c r="J93" s="174"/>
      <c r="K93" s="191"/>
      <c r="L93" s="191"/>
      <c r="M93" s="194"/>
      <c r="N93" s="193"/>
      <c r="O93" s="194"/>
      <c r="P93" s="193"/>
      <c r="Q93" s="268"/>
    </row>
    <row r="94" spans="1:17" x14ac:dyDescent="0.25">
      <c r="A94" s="270"/>
      <c r="B94" s="271"/>
      <c r="C94" s="271"/>
      <c r="D94" s="271"/>
      <c r="E94" s="271"/>
      <c r="F94" s="271"/>
      <c r="G94" s="271"/>
      <c r="H94" s="271"/>
      <c r="I94" s="174"/>
      <c r="J94" s="174"/>
      <c r="K94" s="191"/>
      <c r="L94" s="191"/>
      <c r="M94" s="194"/>
      <c r="N94" s="193"/>
      <c r="O94" s="194"/>
      <c r="P94" s="193"/>
      <c r="Q94" s="268"/>
    </row>
    <row r="95" spans="1:17" x14ac:dyDescent="0.25">
      <c r="A95" s="269">
        <v>23</v>
      </c>
      <c r="B95" s="271"/>
      <c r="C95" s="271"/>
      <c r="D95" s="271"/>
      <c r="E95" s="271"/>
      <c r="F95" s="271"/>
      <c r="G95" s="271"/>
      <c r="H95" s="271"/>
      <c r="I95" s="174" t="s">
        <v>96</v>
      </c>
      <c r="J95" s="174"/>
      <c r="K95" s="191"/>
      <c r="L95" s="191"/>
      <c r="M95" s="194"/>
      <c r="N95" s="193"/>
      <c r="O95" s="194"/>
      <c r="P95" s="193"/>
      <c r="Q95" s="268"/>
    </row>
    <row r="96" spans="1:17" x14ac:dyDescent="0.25">
      <c r="A96" s="270"/>
      <c r="B96" s="271"/>
      <c r="C96" s="271"/>
      <c r="D96" s="271"/>
      <c r="E96" s="271"/>
      <c r="F96" s="271"/>
      <c r="G96" s="271"/>
      <c r="H96" s="271"/>
      <c r="I96" s="174"/>
      <c r="J96" s="174"/>
      <c r="K96" s="191"/>
      <c r="L96" s="191"/>
      <c r="M96" s="194"/>
      <c r="N96" s="193"/>
      <c r="O96" s="194"/>
      <c r="P96" s="193"/>
      <c r="Q96" s="268"/>
    </row>
    <row r="97" spans="1:17" x14ac:dyDescent="0.25">
      <c r="A97" s="269">
        <v>24</v>
      </c>
      <c r="B97" s="271"/>
      <c r="C97" s="271"/>
      <c r="D97" s="271"/>
      <c r="E97" s="271"/>
      <c r="F97" s="271"/>
      <c r="G97" s="271"/>
      <c r="H97" s="271"/>
      <c r="I97" s="174" t="s">
        <v>96</v>
      </c>
      <c r="J97" s="174"/>
      <c r="K97" s="191"/>
      <c r="L97" s="191"/>
      <c r="M97" s="194"/>
      <c r="N97" s="193"/>
      <c r="O97" s="194"/>
      <c r="P97" s="193"/>
      <c r="Q97" s="268"/>
    </row>
    <row r="98" spans="1:17" x14ac:dyDescent="0.25">
      <c r="A98" s="270"/>
      <c r="B98" s="271"/>
      <c r="C98" s="271"/>
      <c r="D98" s="271"/>
      <c r="E98" s="271"/>
      <c r="F98" s="271"/>
      <c r="G98" s="271"/>
      <c r="H98" s="271"/>
      <c r="I98" s="174"/>
      <c r="J98" s="174"/>
      <c r="K98" s="191"/>
      <c r="L98" s="191"/>
      <c r="M98" s="194"/>
      <c r="N98" s="193"/>
      <c r="O98" s="194"/>
      <c r="P98" s="193"/>
      <c r="Q98" s="268"/>
    </row>
    <row r="99" spans="1:17" x14ac:dyDescent="0.25">
      <c r="A99" s="269">
        <v>25</v>
      </c>
      <c r="B99" s="271"/>
      <c r="C99" s="271"/>
      <c r="D99" s="271"/>
      <c r="E99" s="271"/>
      <c r="F99" s="271"/>
      <c r="G99" s="271"/>
      <c r="H99" s="271"/>
      <c r="I99" s="174" t="s">
        <v>96</v>
      </c>
      <c r="J99" s="174"/>
      <c r="K99" s="191"/>
      <c r="L99" s="191"/>
      <c r="M99" s="194"/>
      <c r="N99" s="193"/>
      <c r="O99" s="194"/>
      <c r="P99" s="193"/>
      <c r="Q99" s="268"/>
    </row>
    <row r="100" spans="1:17" x14ac:dyDescent="0.25">
      <c r="A100" s="270"/>
      <c r="B100" s="271"/>
      <c r="C100" s="271"/>
      <c r="D100" s="271"/>
      <c r="E100" s="271"/>
      <c r="F100" s="271"/>
      <c r="G100" s="271"/>
      <c r="H100" s="271"/>
      <c r="I100" s="174"/>
      <c r="J100" s="174"/>
      <c r="K100" s="191"/>
      <c r="L100" s="191"/>
      <c r="M100" s="194"/>
      <c r="N100" s="193"/>
      <c r="O100" s="194"/>
      <c r="P100" s="193"/>
      <c r="Q100" s="268"/>
    </row>
    <row r="101" spans="1:17" x14ac:dyDescent="0.25">
      <c r="A101" s="269">
        <v>26</v>
      </c>
      <c r="B101" s="271"/>
      <c r="C101" s="271"/>
      <c r="D101" s="271"/>
      <c r="E101" s="271"/>
      <c r="F101" s="271"/>
      <c r="G101" s="271"/>
      <c r="H101" s="271"/>
      <c r="I101" s="174" t="s">
        <v>96</v>
      </c>
      <c r="J101" s="174"/>
      <c r="K101" s="191"/>
      <c r="L101" s="191"/>
      <c r="M101" s="194"/>
      <c r="N101" s="193"/>
      <c r="O101" s="194"/>
      <c r="P101" s="193"/>
      <c r="Q101" s="268"/>
    </row>
    <row r="102" spans="1:17" x14ac:dyDescent="0.25">
      <c r="A102" s="270"/>
      <c r="B102" s="271"/>
      <c r="C102" s="271"/>
      <c r="D102" s="271"/>
      <c r="E102" s="271"/>
      <c r="F102" s="271"/>
      <c r="G102" s="271"/>
      <c r="H102" s="271"/>
      <c r="I102" s="174"/>
      <c r="J102" s="174"/>
      <c r="K102" s="191"/>
      <c r="L102" s="191"/>
      <c r="M102" s="194"/>
      <c r="N102" s="193"/>
      <c r="O102" s="194"/>
      <c r="P102" s="193"/>
      <c r="Q102" s="268"/>
    </row>
    <row r="103" ht="15.5" customHeight="1" spans="1:17" x14ac:dyDescent="0.25">
      <c r="A103" s="272" t="s">
        <v>97</v>
      </c>
      <c r="B103" s="273"/>
      <c r="C103" s="273"/>
      <c r="D103" s="273"/>
      <c r="E103" s="273"/>
      <c r="F103" s="273"/>
      <c r="G103" s="273"/>
      <c r="H103" s="273"/>
      <c r="I103" s="273"/>
      <c r="J103" s="273"/>
      <c r="K103" s="273"/>
      <c r="L103" s="273"/>
      <c r="M103" s="274"/>
      <c r="N103" s="273"/>
      <c r="O103" s="275" t="s">
        <v>107</v>
      </c>
      <c r="P103" s="276"/>
      <c r="Q103" s="277">
        <f>SUM(Q66:Q102)</f>
        <v>0</v>
      </c>
    </row>
    <row r="104" spans="1:17" x14ac:dyDescent="0.25">
      <c r="A104" s="210"/>
      <c r="B104" s="55"/>
      <c r="G104" s="55"/>
      <c r="L104" s="55"/>
      <c r="M104" s="55"/>
      <c r="N104" s="55"/>
      <c r="O104" s="55"/>
      <c r="P104" s="55"/>
      <c r="Q104" s="278"/>
    </row>
    <row r="105" ht="15.5" customHeight="1" spans="1:17" x14ac:dyDescent="0.25">
      <c r="A105" s="213" t="s">
        <v>98</v>
      </c>
      <c r="B105" s="214"/>
      <c r="C105" s="214"/>
      <c r="D105" s="214"/>
      <c r="E105" s="214"/>
      <c r="F105" s="214"/>
      <c r="G105" s="214"/>
      <c r="H105" s="214"/>
      <c r="I105" s="214"/>
      <c r="J105" s="214"/>
      <c r="K105" s="214"/>
      <c r="L105" s="214"/>
      <c r="M105" s="214"/>
      <c r="N105" s="214"/>
      <c r="O105" s="214"/>
      <c r="P105" s="214"/>
      <c r="Q105" s="215"/>
    </row>
    <row r="106" ht="15.5" customHeight="1" spans="1:17" x14ac:dyDescent="0.25">
      <c r="A106" s="279"/>
      <c r="B106" s="230"/>
      <c r="C106" s="230"/>
      <c r="D106" s="230"/>
      <c r="E106" s="230"/>
      <c r="F106" s="230"/>
      <c r="G106" s="230"/>
      <c r="H106" s="230"/>
      <c r="I106" s="230"/>
      <c r="J106" s="230"/>
      <c r="K106" s="230"/>
      <c r="L106" s="230"/>
      <c r="M106" s="230"/>
      <c r="N106" s="230"/>
      <c r="O106" s="230"/>
      <c r="P106" s="230"/>
      <c r="Q106" s="253"/>
    </row>
    <row r="107" ht="15.5" customHeight="1" spans="1:17" x14ac:dyDescent="0.25">
      <c r="A107" s="280"/>
      <c r="B107" s="281" t="str">
        <f>A51</f>
        <v>Rio de Janeiro, 31 de dezembro  de 2026.</v>
      </c>
      <c r="C107" s="281"/>
      <c r="D107" s="281"/>
      <c r="E107" s="281"/>
      <c r="F107" s="281"/>
      <c r="G107" s="221"/>
      <c r="H107" s="282" t="str">
        <f>H51</f>
        <v>ODETTE DOS SANTOS SACRAMENTO TERREZO FARDILHA</v>
      </c>
      <c r="I107" s="282"/>
      <c r="J107" s="282"/>
      <c r="K107" s="282"/>
      <c r="L107" s="282"/>
      <c r="M107" s="282"/>
      <c r="N107" s="230"/>
      <c r="O107" s="222"/>
      <c r="P107" s="222"/>
      <c r="Q107" s="223"/>
    </row>
    <row r="108" ht="16" customHeight="1" spans="1:17" x14ac:dyDescent="0.25">
      <c r="A108" s="224"/>
      <c r="B108" s="283" t="s">
        <v>100</v>
      </c>
      <c r="C108" s="283"/>
      <c r="D108" s="283"/>
      <c r="E108" s="283"/>
      <c r="F108" s="283"/>
      <c r="G108" s="226"/>
      <c r="H108" s="284" t="s">
        <v>101</v>
      </c>
      <c r="I108" s="284"/>
      <c r="J108" s="284"/>
      <c r="K108" s="284"/>
      <c r="L108" s="284"/>
      <c r="M108" s="284"/>
      <c r="N108" s="226"/>
      <c r="O108" s="228" t="s">
        <v>102</v>
      </c>
      <c r="P108" s="228"/>
      <c r="Q108" s="285"/>
    </row>
    <row r="109" ht="15" customHeight="1" x14ac:dyDescent="0.25"/>
    <row r="111" ht="44" customHeight="1" x14ac:dyDescent="0.25"/>
    <row r="112" spans="1:8" x14ac:dyDescent="0.25">
      <c r="A112" s="53" t="s">
        <v>55</v>
      </c>
      <c r="B112" s="53"/>
      <c r="C112" s="53"/>
      <c r="D112" s="53"/>
      <c r="E112" s="53"/>
      <c r="F112" s="53"/>
      <c r="G112" s="53"/>
      <c r="H112" s="53"/>
    </row>
    <row r="113" spans="1:8" x14ac:dyDescent="0.25">
      <c r="A113" s="53"/>
      <c r="B113" s="53"/>
      <c r="C113" s="53"/>
      <c r="D113" s="53"/>
      <c r="E113" s="53"/>
      <c r="F113" s="53"/>
      <c r="G113" s="53"/>
      <c r="H113" s="53"/>
    </row>
    <row r="114" spans="1:8" x14ac:dyDescent="0.25">
      <c r="A114" s="53"/>
      <c r="B114" s="53"/>
      <c r="C114" s="53"/>
      <c r="D114" s="53"/>
      <c r="E114" s="53"/>
      <c r="F114" s="53"/>
      <c r="G114" s="53"/>
      <c r="H114" s="53"/>
    </row>
    <row r="116" ht="15" customHeight="1" x14ac:dyDescent="0.25"/>
    <row r="117" ht="16" customHeight="1" spans="1:17" x14ac:dyDescent="0.25">
      <c r="A117" s="234" t="s">
        <v>103</v>
      </c>
      <c r="B117" s="235"/>
      <c r="C117" s="235"/>
      <c r="D117" s="235"/>
      <c r="E117" s="236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5"/>
    </row>
    <row r="118" ht="15.5" customHeight="1" spans="1:17" x14ac:dyDescent="0.25">
      <c r="A118" s="146" t="s">
        <v>83</v>
      </c>
      <c r="B118" s="147" t="s">
        <v>84</v>
      </c>
      <c r="C118" s="148"/>
      <c r="D118" s="149"/>
      <c r="E118" s="237" t="s">
        <v>104</v>
      </c>
      <c r="F118" s="238"/>
      <c r="G118" s="238"/>
      <c r="H118" s="239"/>
      <c r="I118" s="153" t="s">
        <v>86</v>
      </c>
      <c r="J118" s="154"/>
      <c r="K118" s="155" t="s">
        <v>87</v>
      </c>
      <c r="L118" s="156" t="s">
        <v>88</v>
      </c>
      <c r="M118" s="157"/>
      <c r="N118" s="240"/>
      <c r="O118" s="169" t="s">
        <v>89</v>
      </c>
      <c r="P118" s="169"/>
      <c r="Q118" s="158"/>
    </row>
    <row r="119" ht="15.5" customHeight="1" spans="1:17" x14ac:dyDescent="0.25">
      <c r="A119" s="159"/>
      <c r="B119" s="160"/>
      <c r="C119" s="161"/>
      <c r="D119" s="162"/>
      <c r="E119" s="241" t="s">
        <v>105</v>
      </c>
      <c r="F119" s="242"/>
      <c r="G119" s="242"/>
      <c r="H119" s="243"/>
      <c r="I119" s="166"/>
      <c r="J119" s="167"/>
      <c r="K119" s="168"/>
      <c r="L119" s="156" t="s">
        <v>92</v>
      </c>
      <c r="M119" s="169" t="s">
        <v>93</v>
      </c>
      <c r="N119" s="240" t="s">
        <v>94</v>
      </c>
      <c r="O119" s="170" t="s">
        <v>95</v>
      </c>
      <c r="P119" s="170" t="s">
        <v>94</v>
      </c>
      <c r="Q119" s="171"/>
    </row>
    <row r="120" ht="15.5" customHeight="1" spans="1:17" x14ac:dyDescent="0.25">
      <c r="A120" s="244"/>
      <c r="B120" s="245"/>
      <c r="C120" s="246"/>
      <c r="D120" s="247"/>
      <c r="E120" s="246"/>
      <c r="F120" s="246"/>
      <c r="G120" s="246"/>
      <c r="H120" s="246"/>
      <c r="I120" s="245"/>
      <c r="J120" s="247"/>
      <c r="K120" s="248"/>
      <c r="L120" s="248"/>
      <c r="M120" s="249"/>
      <c r="N120" s="250"/>
      <c r="O120" s="251" t="s">
        <v>106</v>
      </c>
      <c r="P120" s="252"/>
      <c r="Q120" s="253"/>
    </row>
    <row r="121" ht="15.5" customHeight="1" spans="1:17" x14ac:dyDescent="0.25">
      <c r="A121" s="254"/>
      <c r="B121" s="255"/>
      <c r="C121" s="256"/>
      <c r="D121" s="257"/>
      <c r="E121" s="256"/>
      <c r="F121" s="256"/>
      <c r="G121" s="256"/>
      <c r="H121" s="256"/>
      <c r="I121" s="255"/>
      <c r="J121" s="257"/>
      <c r="K121" s="258"/>
      <c r="L121" s="258"/>
      <c r="M121" s="259"/>
      <c r="N121" s="260"/>
      <c r="O121" s="261"/>
      <c r="P121" s="262"/>
      <c r="Q121" s="263">
        <f>P103</f>
        <v>0</v>
      </c>
    </row>
    <row r="122" spans="1:17" x14ac:dyDescent="0.25">
      <c r="A122" s="264">
        <v>27</v>
      </c>
      <c r="B122" s="188"/>
      <c r="C122" s="188"/>
      <c r="D122" s="188"/>
      <c r="E122" s="188"/>
      <c r="F122" s="188"/>
      <c r="G122" s="188"/>
      <c r="H122" s="188"/>
      <c r="I122" s="174" t="s">
        <v>96</v>
      </c>
      <c r="J122" s="174"/>
      <c r="K122" s="191"/>
      <c r="L122" s="191"/>
      <c r="M122" s="194"/>
      <c r="N122" s="193"/>
      <c r="O122" s="194"/>
      <c r="P122" s="193"/>
      <c r="Q122" s="265"/>
    </row>
    <row r="123" spans="1:17" x14ac:dyDescent="0.25">
      <c r="A123" s="264"/>
      <c r="B123" s="188"/>
      <c r="C123" s="188"/>
      <c r="D123" s="188"/>
      <c r="E123" s="188"/>
      <c r="F123" s="188"/>
      <c r="G123" s="188"/>
      <c r="H123" s="188"/>
      <c r="I123" s="174"/>
      <c r="J123" s="174"/>
      <c r="K123" s="191"/>
      <c r="L123" s="191"/>
      <c r="M123" s="194"/>
      <c r="N123" s="193"/>
      <c r="O123" s="194"/>
      <c r="P123" s="193"/>
      <c r="Q123" s="265"/>
    </row>
    <row r="124" spans="1:17" x14ac:dyDescent="0.25">
      <c r="A124" s="264">
        <v>28</v>
      </c>
      <c r="B124" s="188"/>
      <c r="C124" s="188"/>
      <c r="D124" s="188"/>
      <c r="E124" s="188"/>
      <c r="F124" s="189"/>
      <c r="G124" s="189"/>
      <c r="H124" s="189"/>
      <c r="I124" s="174" t="s">
        <v>96</v>
      </c>
      <c r="J124" s="174"/>
      <c r="K124" s="191"/>
      <c r="L124" s="191"/>
      <c r="M124" s="194"/>
      <c r="N124" s="193"/>
      <c r="O124" s="194"/>
      <c r="P124" s="193"/>
      <c r="Q124" s="265"/>
    </row>
    <row r="125" spans="1:17" x14ac:dyDescent="0.25">
      <c r="A125" s="264"/>
      <c r="B125" s="188"/>
      <c r="C125" s="188"/>
      <c r="D125" s="188"/>
      <c r="E125" s="189"/>
      <c r="F125" s="189"/>
      <c r="G125" s="189"/>
      <c r="H125" s="189"/>
      <c r="I125" s="174"/>
      <c r="J125" s="174"/>
      <c r="K125" s="191"/>
      <c r="L125" s="191"/>
      <c r="M125" s="194"/>
      <c r="N125" s="193"/>
      <c r="O125" s="194"/>
      <c r="P125" s="193"/>
      <c r="Q125" s="265"/>
    </row>
    <row r="126" ht="14.4" customHeight="1" spans="1:17" x14ac:dyDescent="0.25">
      <c r="A126" s="264">
        <v>29</v>
      </c>
      <c r="B126" s="188"/>
      <c r="C126" s="188"/>
      <c r="D126" s="188"/>
      <c r="E126" s="188"/>
      <c r="F126" s="188"/>
      <c r="G126" s="188"/>
      <c r="H126" s="188"/>
      <c r="I126" s="174" t="s">
        <v>96</v>
      </c>
      <c r="J126" s="174"/>
      <c r="K126" s="191"/>
      <c r="L126" s="191"/>
      <c r="M126" s="194"/>
      <c r="N126" s="193"/>
      <c r="O126" s="194"/>
      <c r="P126" s="193"/>
      <c r="Q126" s="265"/>
    </row>
    <row r="127" ht="14.4" customHeight="1" spans="1:17" x14ac:dyDescent="0.25">
      <c r="A127" s="264"/>
      <c r="B127" s="188"/>
      <c r="C127" s="188"/>
      <c r="D127" s="188"/>
      <c r="E127" s="188"/>
      <c r="F127" s="188"/>
      <c r="G127" s="188"/>
      <c r="H127" s="188"/>
      <c r="I127" s="174"/>
      <c r="J127" s="174"/>
      <c r="K127" s="191"/>
      <c r="L127" s="191"/>
      <c r="M127" s="194"/>
      <c r="N127" s="193"/>
      <c r="O127" s="194"/>
      <c r="P127" s="193"/>
      <c r="Q127" s="265"/>
    </row>
    <row r="128" ht="14.4" customHeight="1" spans="1:17" x14ac:dyDescent="0.25">
      <c r="A128" s="264">
        <v>30</v>
      </c>
      <c r="B128" s="188"/>
      <c r="C128" s="188"/>
      <c r="D128" s="188"/>
      <c r="E128" s="188"/>
      <c r="F128" s="188"/>
      <c r="G128" s="188"/>
      <c r="H128" s="188"/>
      <c r="I128" s="174" t="s">
        <v>96</v>
      </c>
      <c r="J128" s="174"/>
      <c r="K128" s="191"/>
      <c r="L128" s="191"/>
      <c r="M128" s="194"/>
      <c r="N128" s="193"/>
      <c r="O128" s="194"/>
      <c r="P128" s="193"/>
      <c r="Q128" s="265"/>
    </row>
    <row r="129" ht="14.4" customHeight="1" spans="1:17" x14ac:dyDescent="0.25">
      <c r="A129" s="264"/>
      <c r="B129" s="188"/>
      <c r="C129" s="188"/>
      <c r="D129" s="188"/>
      <c r="E129" s="188"/>
      <c r="F129" s="188"/>
      <c r="G129" s="188"/>
      <c r="H129" s="188"/>
      <c r="I129" s="174"/>
      <c r="J129" s="174"/>
      <c r="K129" s="191"/>
      <c r="L129" s="191"/>
      <c r="M129" s="194"/>
      <c r="N129" s="193"/>
      <c r="O129" s="194"/>
      <c r="P129" s="193"/>
      <c r="Q129" s="265"/>
    </row>
    <row r="130" ht="14.4" customHeight="1" spans="1:17" x14ac:dyDescent="0.25">
      <c r="A130" s="264">
        <v>31</v>
      </c>
      <c r="B130" s="188"/>
      <c r="C130" s="188"/>
      <c r="D130" s="188"/>
      <c r="E130" s="188"/>
      <c r="F130" s="188"/>
      <c r="G130" s="188"/>
      <c r="H130" s="188"/>
      <c r="I130" s="174" t="s">
        <v>96</v>
      </c>
      <c r="J130" s="174"/>
      <c r="K130" s="191"/>
      <c r="L130" s="191"/>
      <c r="M130" s="194"/>
      <c r="N130" s="193"/>
      <c r="O130" s="194"/>
      <c r="P130" s="193"/>
      <c r="Q130" s="265"/>
    </row>
    <row r="131" ht="14.4" customHeight="1" spans="1:17" x14ac:dyDescent="0.25">
      <c r="A131" s="264"/>
      <c r="B131" s="188"/>
      <c r="C131" s="188"/>
      <c r="D131" s="188"/>
      <c r="E131" s="267"/>
      <c r="F131" s="267"/>
      <c r="G131" s="267"/>
      <c r="H131" s="267"/>
      <c r="I131" s="174"/>
      <c r="J131" s="174"/>
      <c r="K131" s="191"/>
      <c r="L131" s="191"/>
      <c r="M131" s="194"/>
      <c r="N131" s="193"/>
      <c r="O131" s="194"/>
      <c r="P131" s="193"/>
      <c r="Q131" s="265"/>
    </row>
    <row r="132" ht="14.4" customHeight="1" spans="1:17" x14ac:dyDescent="0.25">
      <c r="A132" s="286">
        <v>32</v>
      </c>
      <c r="B132" s="188"/>
      <c r="C132" s="188"/>
      <c r="D132" s="188"/>
      <c r="E132" s="188"/>
      <c r="F132" s="188"/>
      <c r="G132" s="188"/>
      <c r="H132" s="188"/>
      <c r="I132" s="174" t="s">
        <v>96</v>
      </c>
      <c r="J132" s="174"/>
      <c r="K132" s="191"/>
      <c r="L132" s="191"/>
      <c r="M132" s="194"/>
      <c r="N132" s="193"/>
      <c r="O132" s="194"/>
      <c r="P132" s="193"/>
      <c r="Q132" s="265"/>
    </row>
    <row r="133" ht="14.4" customHeight="1" spans="1:17" x14ac:dyDescent="0.25">
      <c r="A133" s="287"/>
      <c r="B133" s="188"/>
      <c r="C133" s="188"/>
      <c r="D133" s="188"/>
      <c r="E133" s="188"/>
      <c r="F133" s="188"/>
      <c r="G133" s="188"/>
      <c r="H133" s="188"/>
      <c r="I133" s="174"/>
      <c r="J133" s="174"/>
      <c r="K133" s="191"/>
      <c r="L133" s="191"/>
      <c r="M133" s="194"/>
      <c r="N133" s="193"/>
      <c r="O133" s="194"/>
      <c r="P133" s="193"/>
      <c r="Q133" s="265"/>
    </row>
    <row r="134" ht="14.4" customHeight="1" spans="1:17" x14ac:dyDescent="0.25">
      <c r="A134" s="286">
        <v>33</v>
      </c>
      <c r="B134" s="188"/>
      <c r="C134" s="188"/>
      <c r="D134" s="188"/>
      <c r="E134" s="188"/>
      <c r="F134" s="188"/>
      <c r="G134" s="188"/>
      <c r="H134" s="188"/>
      <c r="I134" s="174" t="s">
        <v>96</v>
      </c>
      <c r="J134" s="174"/>
      <c r="K134" s="191"/>
      <c r="L134" s="191"/>
      <c r="M134" s="194"/>
      <c r="N134" s="193"/>
      <c r="O134" s="194"/>
      <c r="P134" s="193"/>
      <c r="Q134" s="265"/>
    </row>
    <row r="135" ht="14.4" customHeight="1" spans="1:17" x14ac:dyDescent="0.25">
      <c r="A135" s="287"/>
      <c r="B135" s="188"/>
      <c r="C135" s="188"/>
      <c r="D135" s="188"/>
      <c r="E135" s="188"/>
      <c r="F135" s="188"/>
      <c r="G135" s="188"/>
      <c r="H135" s="188"/>
      <c r="I135" s="174"/>
      <c r="J135" s="174"/>
      <c r="K135" s="191"/>
      <c r="L135" s="191"/>
      <c r="M135" s="194"/>
      <c r="N135" s="193"/>
      <c r="O135" s="194"/>
      <c r="P135" s="193"/>
      <c r="Q135" s="265"/>
    </row>
    <row r="136" ht="14.4" customHeight="1" spans="1:17" x14ac:dyDescent="0.25">
      <c r="A136" s="286">
        <v>34</v>
      </c>
      <c r="B136" s="188"/>
      <c r="C136" s="188"/>
      <c r="D136" s="188"/>
      <c r="E136" s="188"/>
      <c r="F136" s="188"/>
      <c r="G136" s="188"/>
      <c r="H136" s="188"/>
      <c r="I136" s="174" t="s">
        <v>96</v>
      </c>
      <c r="J136" s="174"/>
      <c r="K136" s="191"/>
      <c r="L136" s="191"/>
      <c r="M136" s="194"/>
      <c r="N136" s="193"/>
      <c r="O136" s="194"/>
      <c r="P136" s="193"/>
      <c r="Q136" s="268"/>
    </row>
    <row r="137" ht="14.4" customHeight="1" spans="1:17" x14ac:dyDescent="0.25">
      <c r="A137" s="287"/>
      <c r="B137" s="188"/>
      <c r="C137" s="188"/>
      <c r="D137" s="188"/>
      <c r="E137" s="188"/>
      <c r="F137" s="188"/>
      <c r="G137" s="188"/>
      <c r="H137" s="188"/>
      <c r="I137" s="174"/>
      <c r="J137" s="174"/>
      <c r="K137" s="191"/>
      <c r="L137" s="191"/>
      <c r="M137" s="194"/>
      <c r="N137" s="193"/>
      <c r="O137" s="194"/>
      <c r="P137" s="193"/>
      <c r="Q137" s="268"/>
    </row>
    <row r="138" ht="14.4" customHeight="1" spans="1:17" x14ac:dyDescent="0.25">
      <c r="A138" s="286">
        <v>35</v>
      </c>
      <c r="B138" s="188"/>
      <c r="C138" s="188"/>
      <c r="D138" s="188"/>
      <c r="E138" s="188"/>
      <c r="F138" s="188"/>
      <c r="G138" s="188"/>
      <c r="H138" s="188"/>
      <c r="I138" s="174" t="s">
        <v>96</v>
      </c>
      <c r="J138" s="174"/>
      <c r="K138" s="191"/>
      <c r="L138" s="191"/>
      <c r="M138" s="194"/>
      <c r="N138" s="193"/>
      <c r="O138" s="194"/>
      <c r="P138" s="193"/>
      <c r="Q138" s="268"/>
    </row>
    <row r="139" ht="14.4" customHeight="1" spans="1:17" x14ac:dyDescent="0.25">
      <c r="A139" s="287"/>
      <c r="B139" s="188"/>
      <c r="C139" s="188"/>
      <c r="D139" s="188"/>
      <c r="E139" s="188"/>
      <c r="F139" s="188"/>
      <c r="G139" s="188"/>
      <c r="H139" s="188"/>
      <c r="I139" s="174"/>
      <c r="J139" s="174"/>
      <c r="K139" s="191"/>
      <c r="L139" s="191"/>
      <c r="M139" s="194"/>
      <c r="N139" s="193"/>
      <c r="O139" s="194"/>
      <c r="P139" s="193"/>
      <c r="Q139" s="268"/>
    </row>
    <row r="140" ht="14.4" customHeight="1" spans="1:17" x14ac:dyDescent="0.25">
      <c r="A140" s="269">
        <v>36</v>
      </c>
      <c r="B140" s="188"/>
      <c r="C140" s="188"/>
      <c r="D140" s="188"/>
      <c r="E140" s="188"/>
      <c r="F140" s="188"/>
      <c r="G140" s="188"/>
      <c r="H140" s="188"/>
      <c r="I140" s="174" t="s">
        <v>96</v>
      </c>
      <c r="J140" s="174"/>
      <c r="K140" s="191"/>
      <c r="L140" s="191"/>
      <c r="M140" s="194"/>
      <c r="N140" s="193"/>
      <c r="O140" s="194"/>
      <c r="P140" s="193"/>
      <c r="Q140" s="268"/>
    </row>
    <row r="141" ht="14.4" customHeight="1" spans="1:17" x14ac:dyDescent="0.25">
      <c r="A141" s="270"/>
      <c r="B141" s="188"/>
      <c r="C141" s="188"/>
      <c r="D141" s="188"/>
      <c r="E141" s="188"/>
      <c r="F141" s="188"/>
      <c r="G141" s="188"/>
      <c r="H141" s="188"/>
      <c r="I141" s="174"/>
      <c r="J141" s="174"/>
      <c r="K141" s="191"/>
      <c r="L141" s="191"/>
      <c r="M141" s="194"/>
      <c r="N141" s="193"/>
      <c r="O141" s="194"/>
      <c r="P141" s="193"/>
      <c r="Q141" s="268"/>
    </row>
    <row r="142" ht="14.4" customHeight="1" spans="1:17" x14ac:dyDescent="0.25">
      <c r="A142" s="269">
        <v>37</v>
      </c>
      <c r="B142" s="271"/>
      <c r="C142" s="271"/>
      <c r="D142" s="271"/>
      <c r="E142" s="271"/>
      <c r="F142" s="271"/>
      <c r="G142" s="271"/>
      <c r="H142" s="271"/>
      <c r="I142" s="174" t="s">
        <v>96</v>
      </c>
      <c r="J142" s="174"/>
      <c r="K142" s="191"/>
      <c r="L142" s="191"/>
      <c r="M142" s="194"/>
      <c r="N142" s="193"/>
      <c r="O142" s="194"/>
      <c r="P142" s="193"/>
      <c r="Q142" s="268"/>
    </row>
    <row r="143" ht="14.4" customHeight="1" spans="1:17" x14ac:dyDescent="0.25">
      <c r="A143" s="270"/>
      <c r="B143" s="271"/>
      <c r="C143" s="271"/>
      <c r="D143" s="271"/>
      <c r="E143" s="271"/>
      <c r="F143" s="271"/>
      <c r="G143" s="271"/>
      <c r="H143" s="271"/>
      <c r="I143" s="174"/>
      <c r="J143" s="174"/>
      <c r="K143" s="191"/>
      <c r="L143" s="191"/>
      <c r="M143" s="194"/>
      <c r="N143" s="193"/>
      <c r="O143" s="194"/>
      <c r="P143" s="193"/>
      <c r="Q143" s="268"/>
    </row>
    <row r="144" ht="14.4" customHeight="1" spans="1:17" x14ac:dyDescent="0.25">
      <c r="A144" s="269">
        <v>38</v>
      </c>
      <c r="B144" s="271"/>
      <c r="C144" s="271"/>
      <c r="D144" s="271"/>
      <c r="E144" s="271"/>
      <c r="F144" s="271"/>
      <c r="G144" s="271"/>
      <c r="H144" s="271"/>
      <c r="I144" s="174" t="s">
        <v>96</v>
      </c>
      <c r="J144" s="174"/>
      <c r="K144" s="191"/>
      <c r="L144" s="191"/>
      <c r="M144" s="194"/>
      <c r="N144" s="193"/>
      <c r="O144" s="194"/>
      <c r="P144" s="193"/>
      <c r="Q144" s="268"/>
    </row>
    <row r="145" ht="14.4" customHeight="1" spans="1:17" x14ac:dyDescent="0.25">
      <c r="A145" s="270"/>
      <c r="B145" s="271"/>
      <c r="C145" s="271"/>
      <c r="D145" s="271"/>
      <c r="E145" s="271"/>
      <c r="F145" s="271"/>
      <c r="G145" s="271"/>
      <c r="H145" s="271"/>
      <c r="I145" s="174"/>
      <c r="J145" s="174"/>
      <c r="K145" s="191"/>
      <c r="L145" s="191"/>
      <c r="M145" s="194"/>
      <c r="N145" s="193"/>
      <c r="O145" s="194"/>
      <c r="P145" s="193"/>
      <c r="Q145" s="268"/>
    </row>
    <row r="146" spans="1:17" x14ac:dyDescent="0.25">
      <c r="A146" s="269">
        <v>39</v>
      </c>
      <c r="B146" s="271"/>
      <c r="C146" s="271"/>
      <c r="D146" s="271"/>
      <c r="E146" s="271"/>
      <c r="F146" s="271"/>
      <c r="G146" s="271"/>
      <c r="H146" s="271"/>
      <c r="I146" s="174" t="s">
        <v>96</v>
      </c>
      <c r="J146" s="174"/>
      <c r="K146" s="191"/>
      <c r="L146" s="191"/>
      <c r="M146" s="194"/>
      <c r="N146" s="193"/>
      <c r="O146" s="194"/>
      <c r="P146" s="193"/>
      <c r="Q146" s="268"/>
    </row>
    <row r="147" spans="1:17" x14ac:dyDescent="0.25">
      <c r="A147" s="270"/>
      <c r="B147" s="271"/>
      <c r="C147" s="271"/>
      <c r="D147" s="271"/>
      <c r="E147" s="271"/>
      <c r="F147" s="271"/>
      <c r="G147" s="271"/>
      <c r="H147" s="271"/>
      <c r="I147" s="174"/>
      <c r="J147" s="174"/>
      <c r="K147" s="191"/>
      <c r="L147" s="191"/>
      <c r="M147" s="194"/>
      <c r="N147" s="193"/>
      <c r="O147" s="194"/>
      <c r="P147" s="193"/>
      <c r="Q147" s="268"/>
    </row>
    <row r="148" spans="1:17" x14ac:dyDescent="0.25">
      <c r="A148" s="269">
        <v>40</v>
      </c>
      <c r="B148" s="271"/>
      <c r="C148" s="271"/>
      <c r="D148" s="271"/>
      <c r="E148" s="271"/>
      <c r="F148" s="271"/>
      <c r="G148" s="271"/>
      <c r="H148" s="271"/>
      <c r="I148" s="174" t="s">
        <v>96</v>
      </c>
      <c r="J148" s="174"/>
      <c r="K148" s="191"/>
      <c r="L148" s="191"/>
      <c r="M148" s="194"/>
      <c r="N148" s="193"/>
      <c r="O148" s="194"/>
      <c r="P148" s="193"/>
      <c r="Q148" s="268"/>
    </row>
    <row r="149" spans="1:17" x14ac:dyDescent="0.25">
      <c r="A149" s="270"/>
      <c r="B149" s="271"/>
      <c r="C149" s="271"/>
      <c r="D149" s="271"/>
      <c r="E149" s="271"/>
      <c r="F149" s="271"/>
      <c r="G149" s="271"/>
      <c r="H149" s="271"/>
      <c r="I149" s="174"/>
      <c r="J149" s="174"/>
      <c r="K149" s="191"/>
      <c r="L149" s="191"/>
      <c r="M149" s="194"/>
      <c r="N149" s="193"/>
      <c r="O149" s="194"/>
      <c r="P149" s="193"/>
      <c r="Q149" s="268"/>
    </row>
    <row r="150" spans="1:17" x14ac:dyDescent="0.25">
      <c r="A150" s="269">
        <v>41</v>
      </c>
      <c r="B150" s="271"/>
      <c r="C150" s="271"/>
      <c r="D150" s="271"/>
      <c r="E150" s="271"/>
      <c r="F150" s="271"/>
      <c r="G150" s="271"/>
      <c r="H150" s="271"/>
      <c r="I150" s="174" t="s">
        <v>96</v>
      </c>
      <c r="J150" s="174"/>
      <c r="K150" s="191"/>
      <c r="L150" s="191"/>
      <c r="M150" s="194"/>
      <c r="N150" s="193"/>
      <c r="O150" s="194"/>
      <c r="P150" s="193"/>
      <c r="Q150" s="268"/>
    </row>
    <row r="151" spans="1:17" x14ac:dyDescent="0.25">
      <c r="A151" s="270"/>
      <c r="B151" s="271"/>
      <c r="C151" s="271"/>
      <c r="D151" s="271"/>
      <c r="E151" s="271"/>
      <c r="F151" s="271"/>
      <c r="G151" s="271"/>
      <c r="H151" s="271"/>
      <c r="I151" s="174"/>
      <c r="J151" s="174"/>
      <c r="K151" s="191"/>
      <c r="L151" s="191"/>
      <c r="M151" s="194"/>
      <c r="N151" s="193"/>
      <c r="O151" s="194"/>
      <c r="P151" s="193"/>
      <c r="Q151" s="268"/>
    </row>
    <row r="152" ht="15.5" customHeight="1" spans="1:17" x14ac:dyDescent="0.25">
      <c r="A152" s="272" t="s">
        <v>97</v>
      </c>
      <c r="B152" s="273"/>
      <c r="C152" s="273"/>
      <c r="D152" s="273"/>
      <c r="E152" s="273"/>
      <c r="F152" s="273"/>
      <c r="G152" s="273"/>
      <c r="H152" s="273"/>
      <c r="I152" s="273"/>
      <c r="J152" s="273"/>
      <c r="K152" s="273"/>
      <c r="L152" s="273"/>
      <c r="M152" s="274"/>
      <c r="N152" s="273"/>
      <c r="O152" s="275" t="s">
        <v>107</v>
      </c>
      <c r="P152" s="276"/>
      <c r="Q152" s="277">
        <f>SUM(Q121:Q151)</f>
        <v>0</v>
      </c>
    </row>
    <row r="153" ht="15" customHeight="1" spans="1:17" x14ac:dyDescent="0.25">
      <c r="A153" s="210"/>
      <c r="B153" s="55"/>
      <c r="G153" s="55"/>
      <c r="L153" s="55"/>
      <c r="M153" s="55"/>
      <c r="N153" s="55"/>
      <c r="O153" s="55"/>
      <c r="P153" s="55"/>
      <c r="Q153" s="278"/>
    </row>
    <row r="154" ht="16" customHeight="1" spans="1:17" x14ac:dyDescent="0.25">
      <c r="A154" s="213" t="s">
        <v>98</v>
      </c>
      <c r="B154" s="214"/>
      <c r="C154" s="214"/>
      <c r="D154" s="214"/>
      <c r="E154" s="214"/>
      <c r="F154" s="214"/>
      <c r="G154" s="214"/>
      <c r="H154" s="214"/>
      <c r="I154" s="214"/>
      <c r="J154" s="214"/>
      <c r="K154" s="214"/>
      <c r="L154" s="214"/>
      <c r="M154" s="214"/>
      <c r="N154" s="214"/>
      <c r="O154" s="214"/>
      <c r="P154" s="214"/>
      <c r="Q154" s="215"/>
    </row>
    <row r="155" ht="15.5" customHeight="1" spans="1:17" x14ac:dyDescent="0.25">
      <c r="A155" s="279"/>
      <c r="B155" s="230"/>
      <c r="C155" s="230"/>
      <c r="D155" s="230"/>
      <c r="E155" s="230"/>
      <c r="F155" s="230"/>
      <c r="G155" s="230"/>
      <c r="H155" s="230"/>
      <c r="I155" s="230"/>
      <c r="J155" s="230"/>
      <c r="K155" s="230"/>
      <c r="L155" s="230"/>
      <c r="M155" s="230"/>
      <c r="N155" s="230"/>
      <c r="O155" s="230"/>
      <c r="P155" s="230"/>
      <c r="Q155" s="253"/>
    </row>
    <row r="156" ht="15.5" customHeight="1" spans="1:17" x14ac:dyDescent="0.25">
      <c r="A156" s="280"/>
      <c r="B156" s="281" t="str">
        <f>B107</f>
        <v>Rio de Janeiro, 31 de dezembro  de 2026.</v>
      </c>
      <c r="C156" s="281"/>
      <c r="D156" s="281"/>
      <c r="E156" s="281"/>
      <c r="F156" s="281"/>
      <c r="G156" s="221"/>
      <c r="H156" s="282" t="str">
        <f>H107</f>
        <v>ODETTE DOS SANTOS SACRAMENTO TERREZO FARDILHA</v>
      </c>
      <c r="I156" s="282"/>
      <c r="J156" s="282"/>
      <c r="K156" s="282"/>
      <c r="L156" s="282"/>
      <c r="M156" s="282"/>
      <c r="N156" s="230"/>
      <c r="O156" s="222"/>
      <c r="P156" s="222"/>
      <c r="Q156" s="223"/>
    </row>
    <row r="157" ht="16" customHeight="1" spans="1:17" x14ac:dyDescent="0.25">
      <c r="A157" s="224"/>
      <c r="B157" s="283" t="s">
        <v>100</v>
      </c>
      <c r="C157" s="283"/>
      <c r="D157" s="283"/>
      <c r="E157" s="283"/>
      <c r="F157" s="283"/>
      <c r="G157" s="226"/>
      <c r="H157" s="284" t="s">
        <v>101</v>
      </c>
      <c r="I157" s="284"/>
      <c r="J157" s="284"/>
      <c r="K157" s="284"/>
      <c r="L157" s="284"/>
      <c r="M157" s="284"/>
      <c r="N157" s="226"/>
      <c r="O157" s="228" t="s">
        <v>102</v>
      </c>
      <c r="P157" s="228"/>
      <c r="Q157" s="285"/>
    </row>
    <row r="158" ht="15" customHeight="1" x14ac:dyDescent="0.25"/>
  </sheetData>
  <mergeCells count="570">
    <mergeCell ref="A5:H7"/>
    <mergeCell ref="A9:Q9"/>
    <mergeCell ref="A10:P10"/>
    <mergeCell ref="A11:P12"/>
    <mergeCell ref="Q11:Q12"/>
    <mergeCell ref="A13:N13"/>
    <mergeCell ref="O13:Q13"/>
    <mergeCell ref="A14:B14"/>
    <mergeCell ref="C14:N14"/>
    <mergeCell ref="O14:Q14"/>
    <mergeCell ref="A15:N15"/>
    <mergeCell ref="O15:P15"/>
    <mergeCell ref="A16:N17"/>
    <mergeCell ref="O16:P17"/>
    <mergeCell ref="Q16:Q17"/>
    <mergeCell ref="D20:G20"/>
    <mergeCell ref="H20:M20"/>
    <mergeCell ref="N20:O20"/>
    <mergeCell ref="P20:Q20"/>
    <mergeCell ref="A21:B21"/>
    <mergeCell ref="D21:E21"/>
    <mergeCell ref="F21:G21"/>
    <mergeCell ref="H21:J21"/>
    <mergeCell ref="K21:M21"/>
    <mergeCell ref="A22:B22"/>
    <mergeCell ref="D22:E22"/>
    <mergeCell ref="F22:G22"/>
    <mergeCell ref="H22:J22"/>
    <mergeCell ref="K22:M22"/>
    <mergeCell ref="A23:C23"/>
    <mergeCell ref="D23:G23"/>
    <mergeCell ref="H23:L23"/>
    <mergeCell ref="M23:N23"/>
    <mergeCell ref="O23:P23"/>
    <mergeCell ref="A24:B24"/>
    <mergeCell ref="D24:E24"/>
    <mergeCell ref="F24:G24"/>
    <mergeCell ref="H24:J24"/>
    <mergeCell ref="K24:L24"/>
    <mergeCell ref="O24:P25"/>
    <mergeCell ref="A25:B25"/>
    <mergeCell ref="D25:E25"/>
    <mergeCell ref="F25:G25"/>
    <mergeCell ref="H25:J25"/>
    <mergeCell ref="K25:L25"/>
    <mergeCell ref="Q24:Q25"/>
    <mergeCell ref="A27:D27"/>
    <mergeCell ref="B28:D29"/>
    <mergeCell ref="E28:H28"/>
    <mergeCell ref="I28:J29"/>
    <mergeCell ref="L28:N28"/>
    <mergeCell ref="O28:P28"/>
    <mergeCell ref="A28:A29"/>
    <mergeCell ref="E29:H29"/>
    <mergeCell ref="K28:K29"/>
    <mergeCell ref="Q28:Q29"/>
    <mergeCell ref="B30:D31"/>
    <mergeCell ref="E30:H31"/>
    <mergeCell ref="I30:J31"/>
    <mergeCell ref="A30:A31"/>
    <mergeCell ref="K30:K31"/>
    <mergeCell ref="L30:L31"/>
    <mergeCell ref="M30:M31"/>
    <mergeCell ref="N30:N31"/>
    <mergeCell ref="O30:O31"/>
    <mergeCell ref="P30:P31"/>
    <mergeCell ref="Q30:Q31"/>
    <mergeCell ref="B32:D33"/>
    <mergeCell ref="E32:H33"/>
    <mergeCell ref="I32:J33"/>
    <mergeCell ref="A32:A33"/>
    <mergeCell ref="K32:K33"/>
    <mergeCell ref="L32:L33"/>
    <mergeCell ref="M32:M33"/>
    <mergeCell ref="N32:N33"/>
    <mergeCell ref="O32:O33"/>
    <mergeCell ref="P32:P33"/>
    <mergeCell ref="Q32:Q33"/>
    <mergeCell ref="B34:D35"/>
    <mergeCell ref="E34:H35"/>
    <mergeCell ref="I34:J35"/>
    <mergeCell ref="A34:A35"/>
    <mergeCell ref="K34:K35"/>
    <mergeCell ref="L34:L35"/>
    <mergeCell ref="M34:M35"/>
    <mergeCell ref="N34:N35"/>
    <mergeCell ref="O34:O35"/>
    <mergeCell ref="P34:P35"/>
    <mergeCell ref="Q34:Q35"/>
    <mergeCell ref="B36:D37"/>
    <mergeCell ref="E36:H37"/>
    <mergeCell ref="I36:J37"/>
    <mergeCell ref="A36:A37"/>
    <mergeCell ref="K36:K37"/>
    <mergeCell ref="L36:L37"/>
    <mergeCell ref="M36:M37"/>
    <mergeCell ref="N36:N37"/>
    <mergeCell ref="O36:O37"/>
    <mergeCell ref="P36:P37"/>
    <mergeCell ref="Q36:Q37"/>
    <mergeCell ref="B38:D39"/>
    <mergeCell ref="E38:H39"/>
    <mergeCell ref="I38:J39"/>
    <mergeCell ref="A38:A39"/>
    <mergeCell ref="K38:K39"/>
    <mergeCell ref="L38:L39"/>
    <mergeCell ref="M38:M39"/>
    <mergeCell ref="N38:N39"/>
    <mergeCell ref="O38:O39"/>
    <mergeCell ref="P38:P39"/>
    <mergeCell ref="Q38:Q39"/>
    <mergeCell ref="B40:D41"/>
    <mergeCell ref="E40:H41"/>
    <mergeCell ref="I40:J41"/>
    <mergeCell ref="A40:A41"/>
    <mergeCell ref="K40:K41"/>
    <mergeCell ref="L40:L41"/>
    <mergeCell ref="M40:M41"/>
    <mergeCell ref="N40:N41"/>
    <mergeCell ref="O40:O41"/>
    <mergeCell ref="P40:P41"/>
    <mergeCell ref="Q40:Q41"/>
    <mergeCell ref="B42:D43"/>
    <mergeCell ref="E42:H43"/>
    <mergeCell ref="I42:J43"/>
    <mergeCell ref="A42:A43"/>
    <mergeCell ref="K42:K43"/>
    <mergeCell ref="L42:L43"/>
    <mergeCell ref="M42:M43"/>
    <mergeCell ref="N42:N43"/>
    <mergeCell ref="O42:O43"/>
    <mergeCell ref="P42:P43"/>
    <mergeCell ref="Q42:Q43"/>
    <mergeCell ref="B44:D45"/>
    <mergeCell ref="E44:H45"/>
    <mergeCell ref="I44:J45"/>
    <mergeCell ref="A44:A45"/>
    <mergeCell ref="K44:K45"/>
    <mergeCell ref="L44:L45"/>
    <mergeCell ref="M44:M45"/>
    <mergeCell ref="N44:N45"/>
    <mergeCell ref="O44:O45"/>
    <mergeCell ref="P44:P45"/>
    <mergeCell ref="Q44:Q45"/>
    <mergeCell ref="A46:D47"/>
    <mergeCell ref="E46:O47"/>
    <mergeCell ref="P46:Q47"/>
    <mergeCell ref="D48:Q48"/>
    <mergeCell ref="A50:Q50"/>
    <mergeCell ref="A51:F51"/>
    <mergeCell ref="H51:N51"/>
    <mergeCell ref="O51:Q51"/>
    <mergeCell ref="B52:F52"/>
    <mergeCell ref="H52:N52"/>
    <mergeCell ref="O52:Q52"/>
    <mergeCell ref="A57:H59"/>
    <mergeCell ref="A62:E62"/>
    <mergeCell ref="B63:D64"/>
    <mergeCell ref="E63:H63"/>
    <mergeCell ref="I63:J64"/>
    <mergeCell ref="L63:N63"/>
    <mergeCell ref="O63:P63"/>
    <mergeCell ref="A63:A64"/>
    <mergeCell ref="E64:H64"/>
    <mergeCell ref="K63:K64"/>
    <mergeCell ref="Q63:Q64"/>
    <mergeCell ref="B65:D66"/>
    <mergeCell ref="E65:H66"/>
    <mergeCell ref="I65:J66"/>
    <mergeCell ref="O65:P66"/>
    <mergeCell ref="A65:A66"/>
    <mergeCell ref="K65:K66"/>
    <mergeCell ref="L65:L66"/>
    <mergeCell ref="M65:M66"/>
    <mergeCell ref="N65:N66"/>
    <mergeCell ref="B67:D68"/>
    <mergeCell ref="E67:H68"/>
    <mergeCell ref="I67:J68"/>
    <mergeCell ref="A67:A68"/>
    <mergeCell ref="K67:K68"/>
    <mergeCell ref="L67:L68"/>
    <mergeCell ref="M67:M68"/>
    <mergeCell ref="N67:N68"/>
    <mergeCell ref="O67:O68"/>
    <mergeCell ref="P67:P68"/>
    <mergeCell ref="Q67:Q68"/>
    <mergeCell ref="B69:D70"/>
    <mergeCell ref="E69:H70"/>
    <mergeCell ref="I69:J70"/>
    <mergeCell ref="A69:A70"/>
    <mergeCell ref="K69:K70"/>
    <mergeCell ref="L69:L70"/>
    <mergeCell ref="M69:M70"/>
    <mergeCell ref="N69:N70"/>
    <mergeCell ref="O69:O70"/>
    <mergeCell ref="P69:P70"/>
    <mergeCell ref="Q69:Q70"/>
    <mergeCell ref="B71:D72"/>
    <mergeCell ref="E71:H72"/>
    <mergeCell ref="I71:J72"/>
    <mergeCell ref="A71:A72"/>
    <mergeCell ref="K71:K72"/>
    <mergeCell ref="L71:L72"/>
    <mergeCell ref="M71:M72"/>
    <mergeCell ref="N71:N72"/>
    <mergeCell ref="O71:O72"/>
    <mergeCell ref="P71:P72"/>
    <mergeCell ref="Q71:Q72"/>
    <mergeCell ref="B73:D74"/>
    <mergeCell ref="E73:H74"/>
    <mergeCell ref="I73:J74"/>
    <mergeCell ref="A73:A74"/>
    <mergeCell ref="K73:K74"/>
    <mergeCell ref="L73:L74"/>
    <mergeCell ref="M73:M74"/>
    <mergeCell ref="N73:N74"/>
    <mergeCell ref="O73:O74"/>
    <mergeCell ref="P73:P74"/>
    <mergeCell ref="Q73:Q74"/>
    <mergeCell ref="B75:D76"/>
    <mergeCell ref="E75:H76"/>
    <mergeCell ref="I75:J76"/>
    <mergeCell ref="A75:A76"/>
    <mergeCell ref="K75:K76"/>
    <mergeCell ref="L75:L76"/>
    <mergeCell ref="M75:M76"/>
    <mergeCell ref="N75:N76"/>
    <mergeCell ref="O75:O76"/>
    <mergeCell ref="P75:P76"/>
    <mergeCell ref="Q75:Q76"/>
    <mergeCell ref="B77:D78"/>
    <mergeCell ref="E77:H78"/>
    <mergeCell ref="I77:J78"/>
    <mergeCell ref="A77:A78"/>
    <mergeCell ref="K77:K78"/>
    <mergeCell ref="L77:L78"/>
    <mergeCell ref="M77:M78"/>
    <mergeCell ref="N77:N78"/>
    <mergeCell ref="O77:O78"/>
    <mergeCell ref="P77:P78"/>
    <mergeCell ref="Q77:Q78"/>
    <mergeCell ref="B79:D80"/>
    <mergeCell ref="E79:H80"/>
    <mergeCell ref="I79:J80"/>
    <mergeCell ref="A79:A80"/>
    <mergeCell ref="K79:K80"/>
    <mergeCell ref="L79:L80"/>
    <mergeCell ref="M79:M80"/>
    <mergeCell ref="N79:N80"/>
    <mergeCell ref="O79:O80"/>
    <mergeCell ref="P79:P80"/>
    <mergeCell ref="Q79:Q80"/>
    <mergeCell ref="B81:D82"/>
    <mergeCell ref="E81:H82"/>
    <mergeCell ref="I81:J82"/>
    <mergeCell ref="A81:A82"/>
    <mergeCell ref="K81:K82"/>
    <mergeCell ref="L81:L82"/>
    <mergeCell ref="M81:M82"/>
    <mergeCell ref="N81:N82"/>
    <mergeCell ref="O81:O82"/>
    <mergeCell ref="P81:P82"/>
    <mergeCell ref="Q81:Q82"/>
    <mergeCell ref="B83:D84"/>
    <mergeCell ref="E83:H84"/>
    <mergeCell ref="I83:J84"/>
    <mergeCell ref="A83:A84"/>
    <mergeCell ref="K83:K84"/>
    <mergeCell ref="L83:L84"/>
    <mergeCell ref="M83:M84"/>
    <mergeCell ref="N83:N84"/>
    <mergeCell ref="O83:O84"/>
    <mergeCell ref="P83:P84"/>
    <mergeCell ref="Q83:Q84"/>
    <mergeCell ref="B85:D86"/>
    <mergeCell ref="E85:H86"/>
    <mergeCell ref="I85:J86"/>
    <mergeCell ref="A85:A86"/>
    <mergeCell ref="K85:K86"/>
    <mergeCell ref="L85:L86"/>
    <mergeCell ref="M85:M86"/>
    <mergeCell ref="N85:N86"/>
    <mergeCell ref="O85:O86"/>
    <mergeCell ref="P85:P86"/>
    <mergeCell ref="Q85:Q86"/>
    <mergeCell ref="B87:D88"/>
    <mergeCell ref="E87:H88"/>
    <mergeCell ref="I87:J88"/>
    <mergeCell ref="A87:A88"/>
    <mergeCell ref="K87:K88"/>
    <mergeCell ref="L87:L88"/>
    <mergeCell ref="M87:M88"/>
    <mergeCell ref="N87:N88"/>
    <mergeCell ref="O87:O88"/>
    <mergeCell ref="P87:P88"/>
    <mergeCell ref="Q87:Q88"/>
    <mergeCell ref="B89:D90"/>
    <mergeCell ref="E89:H90"/>
    <mergeCell ref="I89:J90"/>
    <mergeCell ref="A89:A90"/>
    <mergeCell ref="K89:K90"/>
    <mergeCell ref="L89:L90"/>
    <mergeCell ref="M89:M90"/>
    <mergeCell ref="N89:N90"/>
    <mergeCell ref="O89:O90"/>
    <mergeCell ref="P89:P90"/>
    <mergeCell ref="Q89:Q90"/>
    <mergeCell ref="B91:D92"/>
    <mergeCell ref="E91:H92"/>
    <mergeCell ref="I91:J92"/>
    <mergeCell ref="A91:A92"/>
    <mergeCell ref="K91:K92"/>
    <mergeCell ref="L91:L92"/>
    <mergeCell ref="M91:M92"/>
    <mergeCell ref="N91:N92"/>
    <mergeCell ref="O91:O92"/>
    <mergeCell ref="P91:P92"/>
    <mergeCell ref="Q91:Q92"/>
    <mergeCell ref="B93:D94"/>
    <mergeCell ref="E93:H94"/>
    <mergeCell ref="I93:J94"/>
    <mergeCell ref="A93:A94"/>
    <mergeCell ref="K93:K94"/>
    <mergeCell ref="L93:L94"/>
    <mergeCell ref="M93:M94"/>
    <mergeCell ref="N93:N94"/>
    <mergeCell ref="O93:O94"/>
    <mergeCell ref="P93:P94"/>
    <mergeCell ref="Q93:Q94"/>
    <mergeCell ref="B95:D96"/>
    <mergeCell ref="E95:H96"/>
    <mergeCell ref="I95:J96"/>
    <mergeCell ref="A95:A96"/>
    <mergeCell ref="K95:K96"/>
    <mergeCell ref="L95:L96"/>
    <mergeCell ref="M95:M96"/>
    <mergeCell ref="N95:N96"/>
    <mergeCell ref="O95:O96"/>
    <mergeCell ref="P95:P96"/>
    <mergeCell ref="Q95:Q96"/>
    <mergeCell ref="B97:D98"/>
    <mergeCell ref="E97:H98"/>
    <mergeCell ref="I97:J98"/>
    <mergeCell ref="A97:A98"/>
    <mergeCell ref="K97:K98"/>
    <mergeCell ref="L97:L98"/>
    <mergeCell ref="M97:M98"/>
    <mergeCell ref="N97:N98"/>
    <mergeCell ref="O97:O98"/>
    <mergeCell ref="P97:P98"/>
    <mergeCell ref="Q97:Q98"/>
    <mergeCell ref="B99:D100"/>
    <mergeCell ref="E99:H100"/>
    <mergeCell ref="I99:J100"/>
    <mergeCell ref="A99:A100"/>
    <mergeCell ref="K99:K100"/>
    <mergeCell ref="L99:L100"/>
    <mergeCell ref="M99:M100"/>
    <mergeCell ref="N99:N100"/>
    <mergeCell ref="O99:O100"/>
    <mergeCell ref="P99:P100"/>
    <mergeCell ref="Q99:Q100"/>
    <mergeCell ref="B101:D102"/>
    <mergeCell ref="E101:H102"/>
    <mergeCell ref="I101:J102"/>
    <mergeCell ref="A101:A102"/>
    <mergeCell ref="K101:K102"/>
    <mergeCell ref="L101:L102"/>
    <mergeCell ref="M101:M102"/>
    <mergeCell ref="N101:N102"/>
    <mergeCell ref="O101:O102"/>
    <mergeCell ref="P101:P102"/>
    <mergeCell ref="Q101:Q102"/>
    <mergeCell ref="O103:P103"/>
    <mergeCell ref="H107:M107"/>
    <mergeCell ref="O107:Q107"/>
    <mergeCell ref="B108:F108"/>
    <mergeCell ref="H108:M108"/>
    <mergeCell ref="O108:Q108"/>
    <mergeCell ref="A112:H114"/>
    <mergeCell ref="A117:E117"/>
    <mergeCell ref="B118:D119"/>
    <mergeCell ref="E118:H118"/>
    <mergeCell ref="I118:J119"/>
    <mergeCell ref="L118:N118"/>
    <mergeCell ref="O118:P118"/>
    <mergeCell ref="A118:A119"/>
    <mergeCell ref="E119:H119"/>
    <mergeCell ref="K118:K119"/>
    <mergeCell ref="Q118:Q119"/>
    <mergeCell ref="B120:D121"/>
    <mergeCell ref="E120:H121"/>
    <mergeCell ref="I120:J121"/>
    <mergeCell ref="O120:P121"/>
    <mergeCell ref="A120:A121"/>
    <mergeCell ref="K120:K121"/>
    <mergeCell ref="L120:L121"/>
    <mergeCell ref="M120:M121"/>
    <mergeCell ref="N120:N121"/>
    <mergeCell ref="B122:D123"/>
    <mergeCell ref="E122:H123"/>
    <mergeCell ref="I122:J123"/>
    <mergeCell ref="A122:A123"/>
    <mergeCell ref="K122:K123"/>
    <mergeCell ref="L122:L123"/>
    <mergeCell ref="M122:M123"/>
    <mergeCell ref="N122:N123"/>
    <mergeCell ref="O122:O123"/>
    <mergeCell ref="P122:P123"/>
    <mergeCell ref="Q122:Q123"/>
    <mergeCell ref="B124:D125"/>
    <mergeCell ref="E124:H125"/>
    <mergeCell ref="I124:J125"/>
    <mergeCell ref="A124:A125"/>
    <mergeCell ref="K124:K125"/>
    <mergeCell ref="L124:L125"/>
    <mergeCell ref="M124:M125"/>
    <mergeCell ref="N124:N125"/>
    <mergeCell ref="O124:O125"/>
    <mergeCell ref="P124:P125"/>
    <mergeCell ref="Q124:Q125"/>
    <mergeCell ref="B126:D127"/>
    <mergeCell ref="E126:H127"/>
    <mergeCell ref="I126:J127"/>
    <mergeCell ref="A126:A127"/>
    <mergeCell ref="K126:K127"/>
    <mergeCell ref="L126:L127"/>
    <mergeCell ref="M126:M127"/>
    <mergeCell ref="N126:N127"/>
    <mergeCell ref="O126:O127"/>
    <mergeCell ref="P126:P127"/>
    <mergeCell ref="Q126:Q127"/>
    <mergeCell ref="B128:D129"/>
    <mergeCell ref="E128:H129"/>
    <mergeCell ref="I128:J129"/>
    <mergeCell ref="A128:A129"/>
    <mergeCell ref="K128:K129"/>
    <mergeCell ref="L128:L129"/>
    <mergeCell ref="M128:M129"/>
    <mergeCell ref="N128:N129"/>
    <mergeCell ref="O128:O129"/>
    <mergeCell ref="P128:P129"/>
    <mergeCell ref="Q128:Q129"/>
    <mergeCell ref="B130:D131"/>
    <mergeCell ref="E130:H131"/>
    <mergeCell ref="I130:J131"/>
    <mergeCell ref="A130:A131"/>
    <mergeCell ref="K130:K131"/>
    <mergeCell ref="L130:L131"/>
    <mergeCell ref="M130:M131"/>
    <mergeCell ref="N130:N131"/>
    <mergeCell ref="O130:O131"/>
    <mergeCell ref="P130:P131"/>
    <mergeCell ref="Q130:Q131"/>
    <mergeCell ref="B132:D133"/>
    <mergeCell ref="E132:H133"/>
    <mergeCell ref="I132:J133"/>
    <mergeCell ref="A132:A133"/>
    <mergeCell ref="K132:K133"/>
    <mergeCell ref="L132:L133"/>
    <mergeCell ref="M132:M133"/>
    <mergeCell ref="N132:N133"/>
    <mergeCell ref="O132:O133"/>
    <mergeCell ref="P132:P133"/>
    <mergeCell ref="Q132:Q133"/>
    <mergeCell ref="B134:D135"/>
    <mergeCell ref="E134:H135"/>
    <mergeCell ref="I134:J135"/>
    <mergeCell ref="A134:A135"/>
    <mergeCell ref="K134:K135"/>
    <mergeCell ref="L134:L135"/>
    <mergeCell ref="M134:M135"/>
    <mergeCell ref="N134:N135"/>
    <mergeCell ref="O134:O135"/>
    <mergeCell ref="P134:P135"/>
    <mergeCell ref="Q134:Q135"/>
    <mergeCell ref="B136:D137"/>
    <mergeCell ref="E136:H137"/>
    <mergeCell ref="I136:J137"/>
    <mergeCell ref="A136:A137"/>
    <mergeCell ref="K136:K137"/>
    <mergeCell ref="L136:L137"/>
    <mergeCell ref="M136:M137"/>
    <mergeCell ref="N136:N137"/>
    <mergeCell ref="O136:O137"/>
    <mergeCell ref="P136:P137"/>
    <mergeCell ref="Q136:Q137"/>
    <mergeCell ref="B138:D139"/>
    <mergeCell ref="E138:H139"/>
    <mergeCell ref="I138:J139"/>
    <mergeCell ref="A138:A139"/>
    <mergeCell ref="K138:K139"/>
    <mergeCell ref="L138:L139"/>
    <mergeCell ref="M138:M139"/>
    <mergeCell ref="N138:N139"/>
    <mergeCell ref="O138:O139"/>
    <mergeCell ref="P138:P139"/>
    <mergeCell ref="Q138:Q139"/>
    <mergeCell ref="B140:D141"/>
    <mergeCell ref="E140:H141"/>
    <mergeCell ref="I140:J141"/>
    <mergeCell ref="A140:A141"/>
    <mergeCell ref="K140:K141"/>
    <mergeCell ref="L140:L141"/>
    <mergeCell ref="M140:M141"/>
    <mergeCell ref="N140:N141"/>
    <mergeCell ref="O140:O141"/>
    <mergeCell ref="P140:P141"/>
    <mergeCell ref="Q140:Q141"/>
    <mergeCell ref="B142:D143"/>
    <mergeCell ref="E142:H143"/>
    <mergeCell ref="I142:J143"/>
    <mergeCell ref="A142:A143"/>
    <mergeCell ref="K142:K143"/>
    <mergeCell ref="L142:L143"/>
    <mergeCell ref="M142:M143"/>
    <mergeCell ref="N142:N143"/>
    <mergeCell ref="O142:O143"/>
    <mergeCell ref="P142:P143"/>
    <mergeCell ref="Q142:Q143"/>
    <mergeCell ref="B144:D145"/>
    <mergeCell ref="E144:H145"/>
    <mergeCell ref="I144:J145"/>
    <mergeCell ref="A144:A145"/>
    <mergeCell ref="K144:K145"/>
    <mergeCell ref="L144:L145"/>
    <mergeCell ref="M144:M145"/>
    <mergeCell ref="N144:N145"/>
    <mergeCell ref="O144:O145"/>
    <mergeCell ref="P144:P145"/>
    <mergeCell ref="Q144:Q145"/>
    <mergeCell ref="B146:D147"/>
    <mergeCell ref="E146:H147"/>
    <mergeCell ref="I146:J147"/>
    <mergeCell ref="A146:A147"/>
    <mergeCell ref="K146:K147"/>
    <mergeCell ref="L146:L147"/>
    <mergeCell ref="M146:M147"/>
    <mergeCell ref="N146:N147"/>
    <mergeCell ref="O146:O147"/>
    <mergeCell ref="P146:P147"/>
    <mergeCell ref="Q146:Q147"/>
    <mergeCell ref="B148:D149"/>
    <mergeCell ref="E148:H149"/>
    <mergeCell ref="I148:J149"/>
    <mergeCell ref="A148:A149"/>
    <mergeCell ref="K148:K149"/>
    <mergeCell ref="L148:L149"/>
    <mergeCell ref="M148:M149"/>
    <mergeCell ref="N148:N149"/>
    <mergeCell ref="O148:O149"/>
    <mergeCell ref="P148:P149"/>
    <mergeCell ref="Q148:Q149"/>
    <mergeCell ref="B150:D151"/>
    <mergeCell ref="E150:H151"/>
    <mergeCell ref="I150:J151"/>
    <mergeCell ref="A150:A151"/>
    <mergeCell ref="K150:K151"/>
    <mergeCell ref="L150:L151"/>
    <mergeCell ref="M150:M151"/>
    <mergeCell ref="N150:N151"/>
    <mergeCell ref="O150:O151"/>
    <mergeCell ref="P150:P151"/>
    <mergeCell ref="Q150:Q151"/>
    <mergeCell ref="O152:P152"/>
    <mergeCell ref="H156:M156"/>
    <mergeCell ref="O156:Q156"/>
    <mergeCell ref="B157:F157"/>
    <mergeCell ref="H157:M157"/>
    <mergeCell ref="O157:Q157"/>
  </mergeCells>
  <dataValidations count="10">
    <dataValidation type="decimal" operator="greaterThanOrEqual" allowBlank="1" showInputMessage="1" showErrorMessage="1" sqref="A22:Q22">
      <formula1>0</formula1>
    </dataValidation>
    <dataValidation showInputMessage="1" showErrorMessage="1" sqref="A25:N25"/>
    <dataValidation type="list" allowBlank="1" showInputMessage="1" showErrorMessage="1" sqref="K100:K102">
      <formula1>"CUSTEIO, CAPITAL"</formula1>
    </dataValidation>
    <dataValidation type="list" allowBlank="1" showInputMessage="1" showErrorMessage="1" sqref="K122:K151">
      <formula1>"CUSTEIO , CAPITAL"</formula1>
    </dataValidation>
    <dataValidation type="list" allowBlank="1" showInputMessage="1" showErrorMessage="1" sqref="K30:K45">
      <formula1>"CUSTEIO,CAPITAL"</formula1>
    </dataValidation>
    <dataValidation type="list" allowBlank="1" showInputMessage="1" showErrorMessage="1" sqref="K67:K102">
      <formula1>"CUSTEIO, CAPITAL"</formula1>
    </dataValidation>
    <dataValidation type="decimal" operator="greaterThan" allowBlank="1" showInputMessage="1" showErrorMessage="1" sqref="Q100:Q102">
      <formula1>0</formula1>
    </dataValidation>
    <dataValidation type="decimal" operator="greaterThan" allowBlank="1" showInputMessage="1" showErrorMessage="1" sqref="Q122:Q151">
      <formula1>0</formula1>
    </dataValidation>
    <dataValidation type="decimal" operator="greaterThan" allowBlank="1" showInputMessage="1" showErrorMessage="1" sqref="Q30:Q45">
      <formula1>0</formula1>
    </dataValidation>
    <dataValidation type="decimal" operator="greaterThan" allowBlank="1" showInputMessage="1" showErrorMessage="1" sqref="Q67:Q102">
      <formula1>0</formula1>
    </dataValidation>
  </dataValidations>
  <pageMargins left="0.511811024" right="0.511811024" top="0.787401575" bottom="0.787401575" header="0.31496062" footer="0.31496062"/>
  <pageSetup paperSize="9" orientation="landscape" horizontalDpi="4294967295" verticalDpi="4294967295" scale="56" fitToWidth="1" fitToHeight="0" firstPageNumber="1" useFirstPageNumber="1" copies="1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4"/>
  <sheetViews>
    <sheetView workbookViewId="0" showGridLines="0" zoomScale="112" zoomScaleNormal="100" view="pageBreakPreview">
      <selection activeCell="I18" sqref="I18"/>
    </sheetView>
  </sheetViews>
  <sheetFormatPr defaultRowHeight="14.5" outlineLevelRow="0" outlineLevelCol="0" x14ac:dyDescent="0.35" customHeight="1"/>
  <cols>
    <col min="1" max="1" width="14" customWidth="1"/>
    <col min="2" max="2" width="15.90625" customWidth="1"/>
    <col min="3" max="3" width="14.453125" customWidth="1"/>
    <col min="4" max="4" width="28.54296875" customWidth="1"/>
    <col min="5" max="5" width="11.08984375" customWidth="1"/>
    <col min="6" max="6" width="22.6328125" customWidth="1"/>
    <col min="7" max="7" width="19.08984375" customWidth="1"/>
    <col min="8" max="8" width="17.453125" customWidth="1"/>
  </cols>
  <sheetData>
    <row r="1" ht="24" customHeight="1" spans="1:8" x14ac:dyDescent="0.25">
      <c r="A1" s="93"/>
      <c r="B1" s="93"/>
      <c r="C1" s="93"/>
      <c r="D1" s="93"/>
      <c r="E1" s="93"/>
      <c r="F1" s="93"/>
      <c r="G1" s="93"/>
      <c r="H1" s="93"/>
    </row>
    <row r="2" ht="46.5" customHeight="1" spans="1:8" x14ac:dyDescent="0.25">
      <c r="A2" s="288" t="s">
        <v>108</v>
      </c>
      <c r="B2" s="288"/>
      <c r="C2" s="288"/>
      <c r="D2" s="288"/>
      <c r="E2" s="288"/>
      <c r="F2" s="288"/>
      <c r="G2" s="288"/>
      <c r="H2" s="288"/>
    </row>
    <row r="3" ht="17.25" customHeight="1" spans="1:8" x14ac:dyDescent="0.25">
      <c r="A3" s="289" t="s">
        <v>109</v>
      </c>
      <c r="B3" s="290"/>
      <c r="C3" s="290"/>
      <c r="D3" s="290"/>
      <c r="E3" s="290"/>
      <c r="F3" s="290"/>
      <c r="G3" s="290"/>
      <c r="H3" s="291"/>
    </row>
    <row r="4" spans="1:8" x14ac:dyDescent="0.25">
      <c r="A4" s="292" t="s">
        <v>56</v>
      </c>
      <c r="B4" s="293"/>
      <c r="C4" s="293"/>
      <c r="D4" s="293"/>
      <c r="E4" s="293"/>
      <c r="F4" s="293"/>
      <c r="G4" s="293"/>
      <c r="H4" s="294"/>
    </row>
    <row r="5" spans="1:8" x14ac:dyDescent="0.25">
      <c r="A5" s="295" t="s">
        <v>57</v>
      </c>
      <c r="B5" s="296"/>
      <c r="C5" s="296"/>
      <c r="D5" s="296"/>
      <c r="E5" s="296"/>
      <c r="F5" s="296"/>
      <c r="G5" s="297" t="s">
        <v>110</v>
      </c>
      <c r="H5" s="298"/>
    </row>
    <row r="6" ht="15.5" customHeight="1" spans="1:8" x14ac:dyDescent="0.25">
      <c r="A6" s="299" t="s">
        <v>111</v>
      </c>
      <c r="B6" s="300"/>
      <c r="C6" s="300"/>
      <c r="D6" s="300"/>
      <c r="E6" s="300"/>
      <c r="F6" s="300"/>
      <c r="G6" s="301">
        <v>2026</v>
      </c>
      <c r="H6" s="302"/>
    </row>
    <row r="7" ht="20.25" customHeight="1" spans="1:8" x14ac:dyDescent="0.25">
      <c r="A7" s="303" t="s">
        <v>60</v>
      </c>
      <c r="B7" s="304"/>
      <c r="C7" s="304"/>
      <c r="D7" s="304"/>
      <c r="E7" s="304"/>
      <c r="F7" s="304"/>
      <c r="G7" s="304" t="s">
        <v>61</v>
      </c>
      <c r="H7" s="305"/>
    </row>
    <row r="8" ht="15.5" customHeight="1" spans="1:8" x14ac:dyDescent="0.25">
      <c r="A8" s="306" t="str">
        <f>MEMORIA!A2</f>
        <v>CEC DO/A</v>
      </c>
      <c r="B8" s="307" t="str">
        <f>MEMORIA!B2</f>
        <v>EDI CÔNEGO FERNANDES PINHEIRO</v>
      </c>
      <c r="C8" s="307"/>
      <c r="D8" s="307"/>
      <c r="E8" s="307"/>
      <c r="F8" s="308"/>
      <c r="G8" s="309">
        <f>MEMORIA!B3</f>
        <v>1294812000150</v>
      </c>
      <c r="H8" s="310"/>
    </row>
    <row r="9" ht="14.4" customHeight="1" spans="1:8" x14ac:dyDescent="0.25">
      <c r="A9" s="303" t="s">
        <v>62</v>
      </c>
      <c r="B9" s="304"/>
      <c r="C9" s="304"/>
      <c r="D9" s="304"/>
      <c r="E9" s="304"/>
      <c r="F9" s="311" t="s">
        <v>112</v>
      </c>
      <c r="G9" s="311"/>
      <c r="H9" s="312" t="s">
        <v>113</v>
      </c>
    </row>
    <row r="10" ht="17" customHeight="1" spans="1:8" x14ac:dyDescent="0.25">
      <c r="A10" s="313" t="str">
        <f>Demonstrativo!A16</f>
        <v>RUA SEBASTIAN BACH S/Nº , JARDIM AMÉRICA - CEP: 21240370</v>
      </c>
      <c r="B10" s="314"/>
      <c r="C10" s="314"/>
      <c r="D10" s="314"/>
      <c r="E10" s="314"/>
      <c r="F10" s="311"/>
      <c r="G10" s="311"/>
      <c r="H10" s="312"/>
    </row>
    <row r="11" ht="8.25" customHeight="1" spans="1:8" x14ac:dyDescent="0.25">
      <c r="A11" s="315"/>
      <c r="B11" s="316"/>
      <c r="C11" s="316"/>
      <c r="D11" s="316"/>
      <c r="E11" s="316"/>
      <c r="F11" s="316"/>
      <c r="G11" s="316"/>
      <c r="H11" s="317"/>
    </row>
    <row r="12" spans="1:8" x14ac:dyDescent="0.25">
      <c r="A12" s="318" t="s">
        <v>114</v>
      </c>
      <c r="B12" s="319"/>
      <c r="C12" s="319"/>
      <c r="D12" s="319"/>
      <c r="E12" s="319"/>
      <c r="F12" s="319"/>
      <c r="G12" s="319"/>
      <c r="H12" s="320"/>
    </row>
    <row r="13" ht="15" customHeight="1" spans="1:8" x14ac:dyDescent="0.25">
      <c r="A13" s="321" t="s">
        <v>115</v>
      </c>
      <c r="B13" s="322" t="s">
        <v>116</v>
      </c>
      <c r="C13" s="323" t="s">
        <v>117</v>
      </c>
      <c r="D13" s="324"/>
      <c r="E13" s="325"/>
      <c r="F13" s="326" t="s">
        <v>118</v>
      </c>
      <c r="G13" s="326"/>
      <c r="H13" s="327"/>
    </row>
    <row r="14" spans="1:8" x14ac:dyDescent="0.25">
      <c r="A14" s="328">
        <v>1</v>
      </c>
      <c r="B14" s="329">
        <f>MEMORIA!B6</f>
        <v>497</v>
      </c>
      <c r="C14" s="330">
        <f>MEMORIA!F6</f>
        <v>415367</v>
      </c>
      <c r="D14" s="331"/>
      <c r="E14" s="332"/>
      <c r="F14" s="333" t="s">
        <v>119</v>
      </c>
      <c r="G14" s="333" t="s">
        <v>120</v>
      </c>
      <c r="H14" s="334"/>
    </row>
    <row r="15" spans="1:8" x14ac:dyDescent="0.25">
      <c r="A15" s="328"/>
      <c r="B15" s="329"/>
      <c r="C15" s="335"/>
      <c r="D15" s="336"/>
      <c r="E15" s="337"/>
      <c r="F15" s="338"/>
      <c r="G15" s="339">
        <f>MEMORIA!G47</f>
        <v>0</v>
      </c>
      <c r="H15" s="340"/>
    </row>
    <row r="16" spans="1:8" x14ac:dyDescent="0.25">
      <c r="A16" s="341" t="s">
        <v>121</v>
      </c>
      <c r="B16" s="342"/>
      <c r="C16" s="342"/>
      <c r="D16" s="342"/>
      <c r="E16" s="342"/>
      <c r="F16" s="342"/>
      <c r="G16" s="342"/>
      <c r="H16" s="343"/>
    </row>
    <row r="17" spans="1:8" x14ac:dyDescent="0.25">
      <c r="A17" s="344"/>
      <c r="B17" s="345"/>
      <c r="C17" s="345"/>
      <c r="D17" s="345"/>
      <c r="E17" s="345"/>
      <c r="F17" s="346"/>
      <c r="G17" s="346"/>
      <c r="H17" s="347"/>
    </row>
    <row r="18" spans="1:8" x14ac:dyDescent="0.25">
      <c r="A18" s="348" t="s">
        <v>122</v>
      </c>
      <c r="B18" s="349"/>
      <c r="C18" s="349"/>
      <c r="D18" s="350" t="s">
        <v>123</v>
      </c>
      <c r="E18" s="350"/>
      <c r="F18" s="350" t="s">
        <v>124</v>
      </c>
      <c r="G18" s="350"/>
      <c r="H18" s="351" t="s">
        <v>125</v>
      </c>
    </row>
    <row r="19" spans="1:8" x14ac:dyDescent="0.25">
      <c r="A19" s="352" t="s">
        <v>126</v>
      </c>
      <c r="B19" s="353"/>
      <c r="C19" s="354" t="s">
        <v>127</v>
      </c>
      <c r="D19" s="354" t="s">
        <v>126</v>
      </c>
      <c r="E19" s="354" t="s">
        <v>127</v>
      </c>
      <c r="F19" s="354" t="s">
        <v>126</v>
      </c>
      <c r="G19" s="354" t="s">
        <v>127</v>
      </c>
      <c r="H19" s="351"/>
    </row>
    <row r="20" spans="1:8" x14ac:dyDescent="0.25">
      <c r="A20" s="355"/>
      <c r="B20" s="356"/>
      <c r="C20" s="357"/>
      <c r="D20" s="357"/>
      <c r="E20" s="357"/>
      <c r="F20" s="357"/>
      <c r="G20" s="357"/>
      <c r="H20" s="358">
        <f>(G15+C20)-(E20-G20)</f>
        <v>0</v>
      </c>
    </row>
    <row r="21" spans="1:8" x14ac:dyDescent="0.25">
      <c r="A21" s="359"/>
      <c r="B21" s="360"/>
      <c r="C21" s="361"/>
      <c r="D21" s="361"/>
      <c r="E21" s="361"/>
      <c r="F21" s="361"/>
      <c r="G21" s="361"/>
      <c r="H21" s="362"/>
    </row>
    <row r="22" spans="1:8" x14ac:dyDescent="0.25">
      <c r="A22" s="359"/>
      <c r="B22" s="360"/>
      <c r="C22" s="361"/>
      <c r="D22" s="361"/>
      <c r="E22" s="361"/>
      <c r="F22" s="361"/>
      <c r="G22" s="361"/>
      <c r="H22" s="362"/>
    </row>
    <row r="23" spans="1:8" x14ac:dyDescent="0.25">
      <c r="A23" s="359"/>
      <c r="B23" s="360"/>
      <c r="C23" s="361"/>
      <c r="D23" s="361"/>
      <c r="E23" s="361"/>
      <c r="F23" s="361"/>
      <c r="G23" s="361"/>
      <c r="H23" s="362"/>
    </row>
    <row r="24" spans="1:8" x14ac:dyDescent="0.25">
      <c r="A24" s="359"/>
      <c r="B24" s="360"/>
      <c r="C24" s="361"/>
      <c r="D24" s="361"/>
      <c r="E24" s="361"/>
      <c r="F24" s="361"/>
      <c r="G24" s="361"/>
      <c r="H24" s="362"/>
    </row>
    <row r="25" spans="1:8" x14ac:dyDescent="0.25">
      <c r="A25" s="359"/>
      <c r="B25" s="360"/>
      <c r="C25" s="361"/>
      <c r="D25" s="361"/>
      <c r="E25" s="361"/>
      <c r="F25" s="361"/>
      <c r="G25" s="361"/>
      <c r="H25" s="362"/>
    </row>
    <row r="26" spans="1:8" x14ac:dyDescent="0.25">
      <c r="A26" s="359"/>
      <c r="B26" s="360"/>
      <c r="C26" s="361"/>
      <c r="D26" s="361"/>
      <c r="E26" s="361"/>
      <c r="F26" s="361"/>
      <c r="G26" s="361"/>
      <c r="H26" s="362"/>
    </row>
    <row r="27" spans="1:8" x14ac:dyDescent="0.25">
      <c r="A27" s="359"/>
      <c r="B27" s="360"/>
      <c r="C27" s="361"/>
      <c r="D27" s="361"/>
      <c r="E27" s="361"/>
      <c r="F27" s="361"/>
      <c r="G27" s="361"/>
      <c r="H27" s="362"/>
    </row>
    <row r="28" spans="1:8" x14ac:dyDescent="0.25">
      <c r="A28" s="359"/>
      <c r="B28" s="360"/>
      <c r="C28" s="361"/>
      <c r="D28" s="361"/>
      <c r="E28" s="361"/>
      <c r="F28" s="361"/>
      <c r="G28" s="361"/>
      <c r="H28" s="362"/>
    </row>
    <row r="29" spans="1:8" x14ac:dyDescent="0.25">
      <c r="A29" s="363"/>
      <c r="B29" s="364"/>
      <c r="C29" s="365"/>
      <c r="D29" s="365"/>
      <c r="E29" s="365"/>
      <c r="F29" s="365"/>
      <c r="G29" s="365"/>
      <c r="H29" s="366"/>
    </row>
    <row r="30" spans="1:8" x14ac:dyDescent="0.25">
      <c r="A30" s="367" t="s">
        <v>128</v>
      </c>
      <c r="B30" s="368"/>
      <c r="C30" s="43"/>
      <c r="D30" s="369"/>
      <c r="E30" s="23"/>
      <c r="F30" s="370"/>
      <c r="G30" s="23"/>
      <c r="H30" s="371">
        <f>H20</f>
        <v>0</v>
      </c>
    </row>
    <row r="31" ht="8.25" customHeight="1" spans="1:8" x14ac:dyDescent="0.25">
      <c r="A31" s="372"/>
      <c r="B31" s="373"/>
      <c r="C31" s="374"/>
      <c r="D31" s="374"/>
      <c r="E31" s="374"/>
      <c r="F31" s="374"/>
      <c r="G31" s="374"/>
      <c r="H31" s="375"/>
    </row>
    <row r="32" spans="1:8" x14ac:dyDescent="0.25">
      <c r="A32" s="367" t="s">
        <v>129</v>
      </c>
      <c r="B32" s="368"/>
      <c r="C32" s="368"/>
      <c r="D32" s="368"/>
      <c r="E32" s="368"/>
      <c r="F32" s="368"/>
      <c r="G32" s="368"/>
      <c r="H32" s="376"/>
    </row>
    <row r="33" spans="1:8" x14ac:dyDescent="0.25">
      <c r="A33" s="377" t="s">
        <v>130</v>
      </c>
      <c r="B33" s="378"/>
      <c r="C33" s="378" t="str">
        <f>MEMORIA!A52</f>
        <v>ODETTE DOS SANTOS SACRAMENTO TERREZO FARDILHA</v>
      </c>
      <c r="D33" s="378"/>
      <c r="E33" s="378"/>
      <c r="F33" s="379"/>
      <c r="G33" s="379"/>
      <c r="H33" s="380"/>
    </row>
    <row r="34" spans="1:8" x14ac:dyDescent="0.25">
      <c r="A34" s="381" t="s">
        <v>100</v>
      </c>
      <c r="B34" s="382"/>
      <c r="C34" s="382" t="s">
        <v>101</v>
      </c>
      <c r="D34" s="382"/>
      <c r="E34" s="382"/>
      <c r="F34" s="382" t="s">
        <v>102</v>
      </c>
      <c r="G34" s="382"/>
      <c r="H34" s="383"/>
    </row>
  </sheetData>
  <mergeCells count="48">
    <mergeCell ref="A2:H2"/>
    <mergeCell ref="A3:H3"/>
    <mergeCell ref="A4:H4"/>
    <mergeCell ref="A5:F5"/>
    <mergeCell ref="G5:H5"/>
    <mergeCell ref="A6:F6"/>
    <mergeCell ref="G6:H6"/>
    <mergeCell ref="A7:F7"/>
    <mergeCell ref="G7:H7"/>
    <mergeCell ref="B8:F8"/>
    <mergeCell ref="G8:H8"/>
    <mergeCell ref="A9:E9"/>
    <mergeCell ref="F9:G10"/>
    <mergeCell ref="A10:E10"/>
    <mergeCell ref="H9:H10"/>
    <mergeCell ref="A11:H11"/>
    <mergeCell ref="A12:H12"/>
    <mergeCell ref="C13:E13"/>
    <mergeCell ref="F13:H13"/>
    <mergeCell ref="C14:E15"/>
    <mergeCell ref="G14:H14"/>
    <mergeCell ref="A14:A15"/>
    <mergeCell ref="B14:B15"/>
    <mergeCell ref="G15:H15"/>
    <mergeCell ref="A16:H16"/>
    <mergeCell ref="A17:C17"/>
    <mergeCell ref="D17:E17"/>
    <mergeCell ref="A18:C18"/>
    <mergeCell ref="D18:E18"/>
    <mergeCell ref="F18:G18"/>
    <mergeCell ref="A19:B19"/>
    <mergeCell ref="H18:H19"/>
    <mergeCell ref="A20:B29"/>
    <mergeCell ref="C20:C29"/>
    <mergeCell ref="D20:D29"/>
    <mergeCell ref="E20:E29"/>
    <mergeCell ref="F20:F29"/>
    <mergeCell ref="G20:G29"/>
    <mergeCell ref="H20:H29"/>
    <mergeCell ref="A30:C30"/>
    <mergeCell ref="A31:B31"/>
    <mergeCell ref="A32:H32"/>
    <mergeCell ref="A33:B33"/>
    <mergeCell ref="C33:E33"/>
    <mergeCell ref="F33:H33"/>
    <mergeCell ref="A34:B34"/>
    <mergeCell ref="C34:E34"/>
    <mergeCell ref="F34:H34"/>
  </mergeCells>
  <pageMargins left="0.511811024" right="0.511811024" top="0.787401575" bottom="0.787401575" header="0.31496062" footer="0.31496062"/>
  <pageSetup paperSize="9" orientation="landscape" horizontalDpi="4294967295" verticalDpi="4294967295" scale="89" fitToWidth="1" fitToHeight="1" firstPageNumber="1" useFirstPageNumber="1" copies="1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3"/>
  <sheetViews>
    <sheetView workbookViewId="0" showGridLines="0" zoomScale="102" zoomScaleNormal="100" view="pageBreakPreview">
      <selection activeCell="K12" sqref="K12"/>
    </sheetView>
  </sheetViews>
  <sheetFormatPr defaultRowHeight="12.5" outlineLevelRow="0" outlineLevelCol="0" x14ac:dyDescent="0.25" defaultColWidth="8.90625" customHeight="1"/>
  <cols>
    <col min="1" max="1" width="12.54296875" style="1" customWidth="1"/>
    <col min="2" max="2" width="19" style="1" customWidth="1"/>
    <col min="3" max="3" width="15.90625" style="1" customWidth="1"/>
    <col min="4" max="4" width="4.08984375" style="1" customWidth="1"/>
    <col min="5" max="5" width="8.90625" style="1" customWidth="1"/>
    <col min="6" max="6" width="24.453125" style="1" customWidth="1"/>
    <col min="7" max="7" width="16.36328125" style="1" customWidth="1"/>
    <col min="8" max="8" width="10.6328125" style="1" customWidth="1"/>
    <col min="9" max="9" width="11.6328125" style="1" customWidth="1"/>
    <col min="10" max="10" width="12" style="1" customWidth="1"/>
    <col min="11" max="11" width="11" style="1" customWidth="1"/>
    <col min="12" max="12" width="8.90625" style="1" customWidth="1"/>
    <col min="13" max="13" width="12" style="1" customWidth="1"/>
    <col min="14" max="16384" width="8.90625" style="1" customWidth="1"/>
  </cols>
  <sheetData>
    <row r="1" ht="14" customHeight="1" spans="1:7" x14ac:dyDescent="0.25">
      <c r="A1" s="2" t="s">
        <v>0</v>
      </c>
      <c r="B1" s="2"/>
      <c r="C1" s="2"/>
      <c r="D1" s="2"/>
      <c r="E1" s="2"/>
      <c r="F1" s="2"/>
      <c r="G1" s="2"/>
    </row>
    <row r="2" ht="14" customHeight="1" spans="1:7" x14ac:dyDescent="0.25">
      <c r="A2" s="3" t="s">
        <v>1</v>
      </c>
      <c r="B2" s="4"/>
      <c r="C2" s="4"/>
      <c r="D2" s="4"/>
      <c r="E2" s="4"/>
      <c r="F2" s="4"/>
      <c r="G2" s="5"/>
    </row>
    <row r="3" ht="14.5" customHeight="1" spans="1:7" x14ac:dyDescent="0.25">
      <c r="A3" s="6" t="s">
        <v>2</v>
      </c>
      <c r="B3" s="7"/>
      <c r="C3" s="8"/>
      <c r="D3" s="8"/>
      <c r="E3" s="9"/>
      <c r="F3" s="9"/>
      <c r="G3" s="10"/>
    </row>
    <row r="4" ht="14.5" customHeight="1" spans="1:7" x14ac:dyDescent="0.25">
      <c r="A4" s="6" t="s">
        <v>3</v>
      </c>
      <c r="B4" s="11"/>
      <c r="C4" s="12"/>
      <c r="D4" s="12"/>
      <c r="E4" s="12"/>
      <c r="F4" s="12"/>
      <c r="G4" s="13"/>
    </row>
    <row r="5" ht="14" customHeight="1" spans="1:7" x14ac:dyDescent="0.25">
      <c r="A5" s="6"/>
      <c r="B5" s="12"/>
      <c r="C5" s="12"/>
      <c r="D5" s="12"/>
      <c r="E5" s="12"/>
      <c r="F5" s="14"/>
      <c r="G5" s="10"/>
    </row>
    <row r="6" ht="13" customHeight="1" spans="1:7" x14ac:dyDescent="0.25">
      <c r="A6" s="15" t="s">
        <v>4</v>
      </c>
      <c r="B6" s="16"/>
      <c r="C6" s="17" t="s">
        <v>5</v>
      </c>
      <c r="D6" s="17"/>
      <c r="E6" s="17"/>
      <c r="F6" s="18"/>
      <c r="G6" s="19"/>
    </row>
    <row r="7" ht="13" customHeight="1" spans="1:7" x14ac:dyDescent="0.25">
      <c r="A7" s="20" t="s">
        <v>6</v>
      </c>
      <c r="B7" s="20"/>
      <c r="C7" s="20"/>
      <c r="E7" s="21"/>
      <c r="F7" s="21"/>
      <c r="G7" s="22"/>
    </row>
    <row r="8" ht="13" customHeight="1" spans="1:7" x14ac:dyDescent="0.25">
      <c r="A8" s="23" t="s">
        <v>7</v>
      </c>
      <c r="B8" s="24" t="s">
        <v>8</v>
      </c>
      <c r="C8" s="24" t="s">
        <v>9</v>
      </c>
      <c r="D8" s="21"/>
      <c r="E8" s="21"/>
      <c r="F8" s="21"/>
      <c r="G8" s="22"/>
    </row>
    <row r="9" ht="13" customHeight="1" spans="1:9" x14ac:dyDescent="0.25">
      <c r="A9" s="23" t="s">
        <v>10</v>
      </c>
      <c r="B9" s="25"/>
      <c r="C9" s="25"/>
      <c r="E9" s="26"/>
      <c r="G9" s="22"/>
      <c r="H9" s="27"/>
      <c r="I9" s="28"/>
    </row>
    <row r="10" ht="13" customHeight="1" spans="1:9" x14ac:dyDescent="0.25">
      <c r="A10" s="23" t="s">
        <v>11</v>
      </c>
      <c r="B10" s="25"/>
      <c r="C10" s="25"/>
      <c r="E10" s="29"/>
      <c r="G10" s="22"/>
      <c r="H10" s="27"/>
      <c r="I10" s="28"/>
    </row>
    <row r="11" ht="13" customHeight="1" spans="1:9" x14ac:dyDescent="0.25">
      <c r="A11" s="23" t="s">
        <v>12</v>
      </c>
      <c r="B11" s="25"/>
      <c r="C11" s="25"/>
      <c r="E11" s="30"/>
      <c r="G11" s="22"/>
      <c r="H11" s="27"/>
      <c r="I11" s="28"/>
    </row>
    <row r="12" spans="1:9" x14ac:dyDescent="0.25">
      <c r="A12" s="23" t="s">
        <v>13</v>
      </c>
      <c r="B12" s="25"/>
      <c r="C12" s="25"/>
      <c r="E12" s="22"/>
      <c r="G12" s="22"/>
      <c r="H12" s="27"/>
      <c r="I12" s="28"/>
    </row>
    <row r="13" spans="1:9" x14ac:dyDescent="0.25">
      <c r="A13" s="23" t="s">
        <v>14</v>
      </c>
      <c r="B13" s="25"/>
      <c r="C13" s="25"/>
      <c r="E13" s="28"/>
      <c r="G13" s="22"/>
      <c r="H13" s="27"/>
      <c r="I13" s="28"/>
    </row>
    <row r="14" spans="1:9" x14ac:dyDescent="0.25">
      <c r="A14" s="23" t="s">
        <v>15</v>
      </c>
      <c r="B14" s="25"/>
      <c r="C14" s="25"/>
      <c r="E14" s="28"/>
      <c r="G14" s="22"/>
      <c r="I14" s="28"/>
    </row>
    <row r="15" spans="1:7" x14ac:dyDescent="0.25">
      <c r="A15" s="23" t="s">
        <v>16</v>
      </c>
      <c r="B15" s="25"/>
      <c r="C15" s="25"/>
      <c r="E15" s="28"/>
      <c r="G15" s="22"/>
    </row>
    <row r="16" spans="1:7" x14ac:dyDescent="0.25">
      <c r="A16" s="23" t="s">
        <v>17</v>
      </c>
      <c r="B16" s="25"/>
      <c r="C16" s="25"/>
      <c r="E16" s="28"/>
      <c r="G16" s="22"/>
    </row>
    <row r="17" ht="13" customHeight="1" spans="1:7" x14ac:dyDescent="0.25">
      <c r="A17" s="23" t="s">
        <v>18</v>
      </c>
      <c r="B17" s="25"/>
      <c r="C17" s="25"/>
      <c r="E17" s="30"/>
      <c r="G17" s="22"/>
    </row>
    <row r="18" spans="1:7" x14ac:dyDescent="0.25">
      <c r="A18" s="23" t="s">
        <v>19</v>
      </c>
      <c r="B18" s="25"/>
      <c r="C18" s="25"/>
      <c r="G18" s="22"/>
    </row>
    <row r="19" ht="13" customHeight="1" spans="1:7" x14ac:dyDescent="0.25">
      <c r="A19" s="23" t="s">
        <v>20</v>
      </c>
      <c r="B19" s="31"/>
      <c r="C19" s="31"/>
      <c r="G19" s="22"/>
    </row>
    <row r="20" spans="1:3" x14ac:dyDescent="0.25">
      <c r="A20" s="23" t="s">
        <v>21</v>
      </c>
      <c r="B20" s="25"/>
      <c r="C20" s="25"/>
    </row>
    <row r="21" ht="13" customHeight="1" spans="1:3" x14ac:dyDescent="0.25">
      <c r="A21" s="23" t="s">
        <v>22</v>
      </c>
      <c r="B21" s="32">
        <f>SUM(B9:B20)</f>
        <v>0</v>
      </c>
      <c r="C21" s="32">
        <f>SUM(C9:C20)</f>
        <v>0</v>
      </c>
    </row>
    <row r="22" ht="13" customHeight="1" spans="1:3" x14ac:dyDescent="0.25">
      <c r="A22" s="33" t="s">
        <v>23</v>
      </c>
      <c r="B22" s="34">
        <f>B21+C21</f>
        <v>0</v>
      </c>
      <c r="C22" s="35"/>
    </row>
    <row r="24" ht="13" customHeight="1" spans="1:7" x14ac:dyDescent="0.25">
      <c r="A24" s="36" t="s">
        <v>24</v>
      </c>
      <c r="B24" s="36"/>
      <c r="C24" s="36"/>
      <c r="D24" s="36"/>
      <c r="E24" s="36"/>
      <c r="F24" s="36"/>
      <c r="G24" s="36"/>
    </row>
    <row r="26" ht="13" customHeight="1" spans="1:7" x14ac:dyDescent="0.25">
      <c r="A26" s="37" t="s">
        <v>25</v>
      </c>
      <c r="B26" s="37"/>
      <c r="C26" s="37"/>
      <c r="D26" s="37"/>
      <c r="E26" s="37"/>
      <c r="F26" s="37"/>
      <c r="G26" s="37"/>
    </row>
    <row r="27" spans="1:7" x14ac:dyDescent="0.25">
      <c r="A27" s="38" t="s">
        <v>26</v>
      </c>
      <c r="B27" s="38"/>
      <c r="C27" s="38"/>
      <c r="E27" s="38" t="s">
        <v>27</v>
      </c>
      <c r="F27" s="38"/>
      <c r="G27" s="38"/>
    </row>
    <row r="28" ht="14.5" customHeight="1" spans="1:11" x14ac:dyDescent="0.25">
      <c r="A28" s="39" t="s">
        <v>28</v>
      </c>
      <c r="B28" s="39"/>
      <c r="C28" s="40"/>
      <c r="E28" s="39" t="s">
        <v>28</v>
      </c>
      <c r="F28" s="39"/>
      <c r="G28" s="40"/>
      <c r="J28" s="28"/>
      <c r="K28" s="28"/>
    </row>
    <row r="29" spans="1:11" x14ac:dyDescent="0.25">
      <c r="A29" s="39" t="s">
        <v>29</v>
      </c>
      <c r="B29" s="39"/>
      <c r="C29" s="41"/>
      <c r="E29" s="39" t="s">
        <v>29</v>
      </c>
      <c r="F29" s="39"/>
      <c r="G29" s="41"/>
      <c r="J29" s="28"/>
      <c r="K29" s="28"/>
    </row>
    <row r="30" spans="1:11" x14ac:dyDescent="0.25">
      <c r="A30" s="39" t="s">
        <v>30</v>
      </c>
      <c r="B30" s="39"/>
      <c r="C30" s="41"/>
      <c r="E30" s="39" t="s">
        <v>30</v>
      </c>
      <c r="F30" s="39"/>
      <c r="G30" s="41"/>
      <c r="J30" s="28"/>
      <c r="K30" s="28"/>
    </row>
    <row r="31" spans="1:11" x14ac:dyDescent="0.25">
      <c r="A31" s="42" t="s">
        <v>31</v>
      </c>
      <c r="B31" s="43"/>
      <c r="C31" s="41">
        <f>C29+C30</f>
        <v>0</v>
      </c>
      <c r="E31" s="42" t="s">
        <v>31</v>
      </c>
      <c r="F31" s="43"/>
      <c r="G31" s="41">
        <f>G29+G30</f>
        <v>0</v>
      </c>
      <c r="J31" s="28"/>
      <c r="K31" s="28"/>
    </row>
    <row r="32" spans="1:7" x14ac:dyDescent="0.25">
      <c r="A32" s="39" t="s">
        <v>32</v>
      </c>
      <c r="B32" s="39"/>
      <c r="C32" s="44">
        <v>0</v>
      </c>
      <c r="E32" s="39" t="s">
        <v>32</v>
      </c>
      <c r="F32" s="39"/>
      <c r="G32" s="44">
        <v>0</v>
      </c>
    </row>
    <row r="33" spans="1:7" x14ac:dyDescent="0.25">
      <c r="A33" s="39" t="s">
        <v>33</v>
      </c>
      <c r="B33" s="39"/>
      <c r="C33" s="44">
        <v>0</v>
      </c>
      <c r="E33" s="39" t="s">
        <v>33</v>
      </c>
      <c r="F33" s="39"/>
      <c r="G33" s="44">
        <v>0</v>
      </c>
    </row>
    <row r="34" spans="1:7" x14ac:dyDescent="0.25">
      <c r="A34" s="42" t="s">
        <v>34</v>
      </c>
      <c r="B34" s="43"/>
      <c r="C34" s="45">
        <v>0</v>
      </c>
      <c r="E34" s="42" t="s">
        <v>34</v>
      </c>
      <c r="F34" s="43"/>
      <c r="G34" s="45">
        <v>0</v>
      </c>
    </row>
    <row r="35" spans="1:7" x14ac:dyDescent="0.25">
      <c r="A35" s="39" t="s">
        <v>35</v>
      </c>
      <c r="B35" s="39"/>
      <c r="C35" s="41">
        <f>Demonstrativo!D25</f>
        <v>0</v>
      </c>
      <c r="E35" s="39" t="s">
        <v>35</v>
      </c>
      <c r="F35" s="39"/>
      <c r="G35" s="41">
        <f>Demonstrativo!F25</f>
        <v>0</v>
      </c>
    </row>
    <row r="36" ht="13.25" customHeight="1" spans="1:7" x14ac:dyDescent="0.25">
      <c r="A36" s="42" t="s">
        <v>36</v>
      </c>
      <c r="B36" s="43"/>
      <c r="C36" s="45">
        <v>0</v>
      </c>
      <c r="E36" s="42" t="s">
        <v>37</v>
      </c>
      <c r="F36" s="43"/>
      <c r="G36" s="45">
        <v>0</v>
      </c>
    </row>
    <row r="37" spans="1:7" x14ac:dyDescent="0.25">
      <c r="A37" s="39" t="s">
        <v>38</v>
      </c>
      <c r="B37" s="39"/>
      <c r="C37" s="41">
        <f>C28+C29+C30+C32+C33-C35-C36</f>
        <v>0</v>
      </c>
      <c r="E37" s="39" t="s">
        <v>38</v>
      </c>
      <c r="F37" s="39"/>
      <c r="G37" s="41">
        <f>G28+G29+G30+G32+G33-G35-G36</f>
        <v>0</v>
      </c>
    </row>
    <row r="38" ht="9" customHeight="1" x14ac:dyDescent="0.25"/>
    <row r="40" ht="13" customHeight="1" spans="1:7" x14ac:dyDescent="0.25">
      <c r="A40" s="46" t="s">
        <v>39</v>
      </c>
      <c r="B40" s="46"/>
      <c r="C40" s="46"/>
      <c r="D40" s="46"/>
      <c r="E40" s="46"/>
      <c r="F40" s="46"/>
      <c r="G40" s="46"/>
    </row>
    <row r="41" ht="13" customHeight="1" spans="1:7" x14ac:dyDescent="0.25">
      <c r="A41" s="36"/>
      <c r="B41" s="36"/>
      <c r="C41" s="36"/>
      <c r="D41" s="36"/>
      <c r="E41" s="36"/>
      <c r="F41" s="36"/>
      <c r="G41" s="36"/>
    </row>
    <row r="42" ht="13" customHeight="1" spans="1:7" x14ac:dyDescent="0.25">
      <c r="A42" s="37" t="s">
        <v>40</v>
      </c>
      <c r="B42" s="37"/>
      <c r="C42" s="37"/>
      <c r="E42" s="37" t="s">
        <v>41</v>
      </c>
      <c r="F42" s="37"/>
      <c r="G42" s="37"/>
    </row>
    <row r="43" ht="13" customHeight="1" spans="1:7" x14ac:dyDescent="0.25">
      <c r="A43" s="42" t="s">
        <v>42</v>
      </c>
      <c r="B43" s="43"/>
      <c r="C43" s="47">
        <f>C28+G28</f>
        <v>0</v>
      </c>
      <c r="E43" s="42" t="s">
        <v>43</v>
      </c>
      <c r="F43" s="43"/>
      <c r="G43" s="48">
        <f>C37+G37</f>
        <v>0</v>
      </c>
    </row>
    <row r="44" ht="17.15" customHeight="1" spans="1:7" x14ac:dyDescent="0.25">
      <c r="A44" s="39" t="s">
        <v>44</v>
      </c>
      <c r="B44" s="39"/>
      <c r="C44" s="49">
        <v>0</v>
      </c>
      <c r="E44" s="23" t="s">
        <v>44</v>
      </c>
      <c r="F44" s="23"/>
      <c r="G44" s="49"/>
    </row>
    <row r="45" ht="17.15" customHeight="1" spans="1:7" x14ac:dyDescent="0.25">
      <c r="A45" s="23" t="s">
        <v>45</v>
      </c>
      <c r="B45" s="23"/>
      <c r="C45" s="49">
        <v>0</v>
      </c>
      <c r="E45" s="23" t="s">
        <v>45</v>
      </c>
      <c r="F45" s="23"/>
      <c r="G45" s="49"/>
    </row>
    <row r="46" ht="17.15" customHeight="1" spans="1:7" x14ac:dyDescent="0.25">
      <c r="A46" s="23" t="s">
        <v>46</v>
      </c>
      <c r="B46" s="23"/>
      <c r="C46" s="49">
        <v>0</v>
      </c>
      <c r="E46" s="23" t="s">
        <v>46</v>
      </c>
      <c r="F46" s="23"/>
      <c r="G46" s="49"/>
    </row>
    <row r="47" ht="17.15" customHeight="1" spans="1:7" x14ac:dyDescent="0.25">
      <c r="A47" s="42" t="s">
        <v>47</v>
      </c>
      <c r="B47" s="43"/>
      <c r="C47" s="47">
        <f>C44+C45+C46</f>
        <v>0</v>
      </c>
      <c r="E47" s="42" t="s">
        <v>48</v>
      </c>
      <c r="F47" s="43"/>
      <c r="G47" s="47">
        <f>G44+G45+G46</f>
        <v>0</v>
      </c>
    </row>
    <row r="48" ht="17.15" customHeight="1" spans="1:7" x14ac:dyDescent="0.25">
      <c r="A48" s="23" t="s">
        <v>49</v>
      </c>
      <c r="B48" s="23"/>
      <c r="C48" s="47">
        <f>C47-C43</f>
        <v>0</v>
      </c>
      <c r="E48" s="23" t="s">
        <v>49</v>
      </c>
      <c r="F48" s="23"/>
      <c r="G48" s="47">
        <f>G47-G43</f>
        <v>0</v>
      </c>
    </row>
    <row r="50" spans="1:7" x14ac:dyDescent="0.25">
      <c r="A50" s="50" t="s">
        <v>50</v>
      </c>
      <c r="B50" s="50"/>
      <c r="C50" s="50"/>
      <c r="D50" s="50"/>
      <c r="E50" s="50"/>
      <c r="F50" s="50"/>
      <c r="G50" s="50"/>
    </row>
    <row r="52" ht="14.5" customHeight="1" spans="1:7" x14ac:dyDescent="0.25">
      <c r="A52" s="51"/>
      <c r="B52" s="52"/>
      <c r="C52" s="52"/>
      <c r="E52" s="22" t="s">
        <v>51</v>
      </c>
      <c r="F52" s="22"/>
      <c r="G52" s="22"/>
    </row>
    <row r="53" spans="1:7" x14ac:dyDescent="0.25">
      <c r="A53" s="22" t="s">
        <v>52</v>
      </c>
      <c r="B53" s="22"/>
      <c r="C53" s="22"/>
      <c r="E53" s="22" t="s">
        <v>53</v>
      </c>
      <c r="F53" s="22"/>
      <c r="G53" s="22"/>
    </row>
  </sheetData>
  <mergeCells count="45">
    <mergeCell ref="A1:G1"/>
    <mergeCell ref="B2:G2"/>
    <mergeCell ref="B3:D3"/>
    <mergeCell ref="B4:G4"/>
    <mergeCell ref="B5:E5"/>
    <mergeCell ref="C6:E6"/>
    <mergeCell ref="A7:C7"/>
    <mergeCell ref="B22:C22"/>
    <mergeCell ref="A24:G24"/>
    <mergeCell ref="A26:G26"/>
    <mergeCell ref="A27:C27"/>
    <mergeCell ref="E27:G27"/>
    <mergeCell ref="A28:B28"/>
    <mergeCell ref="E28:F28"/>
    <mergeCell ref="A29:B29"/>
    <mergeCell ref="E29:F29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40:G40"/>
    <mergeCell ref="A42:C42"/>
    <mergeCell ref="E42:G42"/>
    <mergeCell ref="A43:B43"/>
    <mergeCell ref="E43:F43"/>
    <mergeCell ref="A44:B44"/>
    <mergeCell ref="A47:B47"/>
    <mergeCell ref="E47:F47"/>
    <mergeCell ref="A50:G50"/>
    <mergeCell ref="A52:C52"/>
    <mergeCell ref="E52:G52"/>
    <mergeCell ref="A53:C53"/>
    <mergeCell ref="E53:G53"/>
  </mergeCells>
  <pageMargins left="0.511811024" right="0.511811024" top="0.787401575" bottom="0.787401575" header="0.31496062" footer="0.31496062"/>
  <pageSetup paperSize="9" orientation="portrait" horizontalDpi="4294967295" verticalDpi="4294967295" scale="6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MEMORIA</vt:lpstr>
      <vt:lpstr>Demonstrativo</vt:lpstr>
      <vt:lpstr>Conciliação Bancária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de Oliveria Motta</dc:creator>
  <dc:title/>
  <dc:subject/>
  <dc:description/>
  <cp:keywords/>
  <cp:category/>
  <cp:lastModifiedBy>Wilson Malafaia Peixoto</cp:lastModifiedBy>
  <cp:contentStatus/>
  <dcterms:created xsi:type="dcterms:W3CDTF">2021-10-20T18:17:30Z</dcterms:created>
  <dcterms:modified xsi:type="dcterms:W3CDTF">2026-04-25T00:54:37Z</dcterms:modified>
</cp:coreProperties>
</file>