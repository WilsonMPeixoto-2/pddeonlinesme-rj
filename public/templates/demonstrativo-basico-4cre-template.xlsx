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4c5fa2053667c4f/Área de Trabalho/PDDE ONLINE 2026/"/>
    </mc:Choice>
  </mc:AlternateContent>
  <xr:revisionPtr revIDLastSave="3" documentId="8_{27BFCE49-664E-450E-893E-1996CBB1F554}" xr6:coauthVersionLast="47" xr6:coauthVersionMax="47" xr10:uidLastSave="{6BBAA85F-B05B-4290-99A7-359B65E84C21}"/>
  <bookViews>
    <workbookView xWindow="-110" yWindow="-110" windowWidth="38620" windowHeight="21100" xr2:uid="{00000000-000D-0000-FFFF-FFFF00000000}"/>
  </bookViews>
  <sheets>
    <sheet name="BASE" sheetId="22" r:id="rId1"/>
    <sheet name="MEMORIA" sheetId="21" r:id="rId2"/>
    <sheet name="Demonstrativo" sheetId="13" r:id="rId3"/>
    <sheet name="Conciliação Bancária" sheetId="20" r:id="rId4"/>
  </sheets>
  <definedNames>
    <definedName name="_xlnm._FilterDatabase" localSheetId="0" hidden="1">BASE!$A$1:$G$164</definedName>
    <definedName name="_xlnm.Print_Area" localSheetId="1">MEMORIA!$A$1:$J$53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21" l="1"/>
  <c r="C30" i="21"/>
  <c r="C28" i="21"/>
  <c r="H20" i="20"/>
  <c r="H22" i="13" l="1"/>
  <c r="B156" i="13"/>
  <c r="B107" i="13"/>
  <c r="F25" i="13"/>
  <c r="D25" i="13"/>
  <c r="Q121" i="13" l="1"/>
  <c r="Q152" i="13" s="1"/>
  <c r="N25" i="13"/>
  <c r="M25" i="13"/>
  <c r="Q22" i="13"/>
  <c r="P22" i="13"/>
  <c r="G29" i="21" a="1"/>
  <c r="G29" i="21" s="1"/>
  <c r="A52" i="21"/>
  <c r="B3" i="21"/>
  <c r="B4" i="21"/>
  <c r="G28" i="21"/>
  <c r="C22" i="13" s="1"/>
  <c r="K22" i="13"/>
  <c r="F6" i="21"/>
  <c r="B6" i="21"/>
  <c r="B8" i="20"/>
  <c r="C14" i="13"/>
  <c r="C33" i="20" l="1"/>
  <c r="G35" i="21"/>
  <c r="G37" i="21" s="1"/>
  <c r="C35" i="21"/>
  <c r="H51" i="13"/>
  <c r="H107" i="13" s="1"/>
  <c r="H156" i="13" s="1"/>
  <c r="E46" i="13"/>
  <c r="A16" i="13"/>
  <c r="A10" i="20" s="1"/>
  <c r="C14" i="20"/>
  <c r="B14" i="20"/>
  <c r="A8" i="20"/>
  <c r="G8" i="20"/>
  <c r="O14" i="13"/>
  <c r="G47" i="21"/>
  <c r="G15" i="20"/>
  <c r="H30" i="20"/>
  <c r="C47" i="21"/>
  <c r="G31" i="21"/>
  <c r="F22" i="13" s="1"/>
  <c r="B21" i="21"/>
  <c r="C21" i="21"/>
  <c r="P46" i="13"/>
  <c r="Q66" i="13" s="1"/>
  <c r="Q103" i="13" s="1"/>
  <c r="B22" i="21" l="1"/>
  <c r="N22" i="13" s="1"/>
  <c r="O22" i="13" l="1"/>
  <c r="C25" i="13" s="1"/>
  <c r="K25" i="13" s="1"/>
  <c r="C29" i="21" a="1"/>
  <c r="C29" i="21" s="1"/>
  <c r="C31" i="21" s="1"/>
  <c r="D22" i="13" s="1"/>
  <c r="C43" i="21"/>
  <c r="C48" i="21" s="1"/>
  <c r="C37" i="21" l="1"/>
  <c r="G43" i="21" s="1"/>
  <c r="G48" i="21" s="1"/>
  <c r="A22" i="13"/>
  <c r="A25" i="13" s="1"/>
  <c r="H25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<sst xmlns="http://schemas.openxmlformats.org/spreadsheetml/2006/main" count="935" uniqueCount="804">
  <si>
    <t>DESIGNAÇÃO</t>
  </si>
  <si>
    <t>NOME</t>
  </si>
  <si>
    <t>INEP</t>
  </si>
  <si>
    <t>CNPJ</t>
  </si>
  <si>
    <t>REPROGRAMADO CUSTEIO</t>
  </si>
  <si>
    <t>REPROGRAMADO CAPITAL</t>
  </si>
  <si>
    <t>DIRETOR</t>
  </si>
  <si>
    <t>ENDEREÇO</t>
  </si>
  <si>
    <t>AGENCIA</t>
  </si>
  <si>
    <t>CONTA CORRENTE</t>
  </si>
  <si>
    <t>1 PARCELA CUSTEIO</t>
  </si>
  <si>
    <t>1 PARCELA CAPITAL</t>
  </si>
  <si>
    <t>000002497X</t>
  </si>
  <si>
    <t>MEMÓRIA DE CALCULO PDDE BÁSICO</t>
  </si>
  <si>
    <t>CEC DO/A</t>
  </si>
  <si>
    <t>CNPJ:</t>
  </si>
  <si>
    <t>Endereço:</t>
  </si>
  <si>
    <t>Agência</t>
  </si>
  <si>
    <t>Conta corrente:</t>
  </si>
  <si>
    <t>Bloco 1- Redimentos</t>
  </si>
  <si>
    <t>Mês</t>
  </si>
  <si>
    <t>Fundo 1</t>
  </si>
  <si>
    <t>Fundo 2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</si>
  <si>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</si>
  <si>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</si>
  <si>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</si>
  <si>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</si>
  <si>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</si>
  <si>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</si>
  <si>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</si>
  <si>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</si>
  <si>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</si>
  <si>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</si>
  <si>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</si>
  <si>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</si>
  <si>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Subtotal</t>
  </si>
  <si>
    <t xml:space="preserve">total </t>
  </si>
  <si>
    <t>Bloco 2- Despesas</t>
  </si>
  <si>
    <t>PDDE BÁSICO</t>
  </si>
  <si>
    <t>CUSTEIO</t>
  </si>
  <si>
    <t>CAPITAL</t>
  </si>
  <si>
    <t>Saldo anterior</t>
  </si>
  <si>
    <t>recebido no exercício 1ª PARCELA</t>
  </si>
  <si>
    <t>recebido no exercício 2ª PARCELA</t>
  </si>
  <si>
    <t>Total recebido</t>
  </si>
  <si>
    <t>Rendimentos</t>
  </si>
  <si>
    <t>Recursos Próprios</t>
  </si>
  <si>
    <t>DEVOLVIDO AO FNDE</t>
  </si>
  <si>
    <t xml:space="preserve">Despesa </t>
  </si>
  <si>
    <t xml:space="preserve">SALDO DEVOLVIDO </t>
  </si>
  <si>
    <t>SALDO DEVOLVIDO</t>
  </si>
  <si>
    <t>Saldo a reprogramar</t>
  </si>
  <si>
    <t>Bloco 3- Conferência com extrato</t>
  </si>
  <si>
    <t>Saldo inicial dos programas</t>
  </si>
  <si>
    <t>Saldo final dos programas</t>
  </si>
  <si>
    <t>saldo  inicial</t>
  </si>
  <si>
    <t>final</t>
  </si>
  <si>
    <t>Saldo extrato de C/C</t>
  </si>
  <si>
    <t>Saldo final rendimento 1</t>
  </si>
  <si>
    <t>Saldo final rendimento 2</t>
  </si>
  <si>
    <t>Total</t>
  </si>
  <si>
    <t>total</t>
  </si>
  <si>
    <t xml:space="preserve">Diferença entre extrato e saldo </t>
  </si>
  <si>
    <t>Rio de Janeiro, 31 de dezembro de 2026</t>
  </si>
  <si>
    <t>_________________________________________________</t>
  </si>
  <si>
    <t>Presidente do CEC</t>
  </si>
  <si>
    <t>Assinatura do Presidente do CEC</t>
  </si>
  <si>
    <t>FUNDO NACIONAL DE DESESNVOLVIMENTO DA EDUCAÇÃO</t>
  </si>
  <si>
    <t xml:space="preserve">DIRETORIA FINANCEIRA
COORDENAÇÃO-GERAL DE CONTABILIDADE E ACOMPANHAMENTO DE PRESTAÇÃO DE CONTAS
</t>
  </si>
  <si>
    <t>BLOCO 1 - IDENTIFICAÇÃO</t>
  </si>
  <si>
    <t>01- Programa/ Ação</t>
  </si>
  <si>
    <t>02- exercíciio</t>
  </si>
  <si>
    <t>FNDE/PDDE/BÁSICO</t>
  </si>
  <si>
    <t>03- Nome da Razão social</t>
  </si>
  <si>
    <t>04- CNPJ</t>
  </si>
  <si>
    <t xml:space="preserve">05 - Endereço </t>
  </si>
  <si>
    <t>06- Municipio</t>
  </si>
  <si>
    <t>07 - UF</t>
  </si>
  <si>
    <t>Rio de Janeiro</t>
  </si>
  <si>
    <t>RJ</t>
  </si>
  <si>
    <t>BLOCO 2 - SÍNTESE DA EXECUÇÃO DA RECEITA E DA DESPESA (R$)</t>
  </si>
  <si>
    <t>08 - Saldo do Exerc. Anterior</t>
  </si>
  <si>
    <t>09 - Valor Recebido no Exercício</t>
  </si>
  <si>
    <t>10 - Recursos Próprios</t>
  </si>
  <si>
    <t>11- Rend. de Aplicação Financeira</t>
  </si>
  <si>
    <t>12- Devolução ao FNDE (-)</t>
  </si>
  <si>
    <t>Custeio</t>
  </si>
  <si>
    <t>Capital</t>
  </si>
  <si>
    <t>13 - Valor Total da Receita</t>
  </si>
  <si>
    <t>14- Despesa realizada</t>
  </si>
  <si>
    <t>15- Saldo a Reprogramar   Exerc. Seguinte</t>
  </si>
  <si>
    <t>16 - Saldo Devolvido</t>
  </si>
  <si>
    <t>17- Período de Execução</t>
  </si>
  <si>
    <t>18- Nº de Escolas</t>
  </si>
  <si>
    <t>01/01/2026 A 31/12/2026</t>
  </si>
  <si>
    <t>BLOCO 3 - PAGAMENTOS EFETUADOS</t>
  </si>
  <si>
    <t>19 - Item</t>
  </si>
  <si>
    <t>20 - Nome do Favorecido e CNPJ ou CPF</t>
  </si>
  <si>
    <t>21 - Tipo de Bens e Materiais Adquiridos</t>
  </si>
  <si>
    <t>22 - Orig. R$(*)</t>
  </si>
  <si>
    <t>23- Nat. Desp.</t>
  </si>
  <si>
    <t>24 - Documento</t>
  </si>
  <si>
    <t>25 - Pagamento</t>
  </si>
  <si>
    <t>26- valor (R$)</t>
  </si>
  <si>
    <t>ou Serviços Contratados( indicar também a atividade)</t>
  </si>
  <si>
    <t>Tipo</t>
  </si>
  <si>
    <t>Número</t>
  </si>
  <si>
    <t>Data</t>
  </si>
  <si>
    <t>Nº Ch/OB</t>
  </si>
  <si>
    <t>FNDE</t>
  </si>
  <si>
    <t>27 - TOTAL</t>
  </si>
  <si>
    <t>BLOCO 4 - AUTENTICAÇÃO</t>
  </si>
  <si>
    <t>Rio de Janeiro, 31 de dezembro  de 2026.</t>
  </si>
  <si>
    <t>Local e Data</t>
  </si>
  <si>
    <t>Nome do(a) Dirigente ou Representante Legal</t>
  </si>
  <si>
    <t>Assinatura do(a) Dirigente ou do Representante Legal</t>
  </si>
  <si>
    <t>BLOCO 3 - PAGAMENTOS EFETUADOS (CONTINUAÇÃO)</t>
  </si>
  <si>
    <t xml:space="preserve">21 - Tipo de Bens e Materiais Adquiridos </t>
  </si>
  <si>
    <t xml:space="preserve"> ou Serviços Contratados(indicar também atividades)</t>
  </si>
  <si>
    <t>Transporte</t>
  </si>
  <si>
    <t>TOTAL</t>
  </si>
  <si>
    <t>FUNDO NACIONAL DE DESESNVOLVIMENTO DA EDUCAÇÃO
DIRETORIA FINANCEIRA
COORDENAÇÃO-GERAL DE CONTABILIDADE E ACOMPANHAMENTO DE PRESTAÇÃO DE CONTAS                                          PRESTAÇÃO DE CONTAS</t>
  </si>
  <si>
    <t>CONCILIAÇÃO BANCÁRIA</t>
  </si>
  <si>
    <t>02- Exercício</t>
  </si>
  <si>
    <t>FNDE/PDDE BÁSICO</t>
  </si>
  <si>
    <t>06- Município
Rio de Janeiro</t>
  </si>
  <si>
    <t>07-UF
RJ</t>
  </si>
  <si>
    <t>BLOCO 2- IDENTIFICAÇÃO BANCÁRIA E SALDO</t>
  </si>
  <si>
    <t>08- Banco</t>
  </si>
  <si>
    <t>09-Cód. da Agência</t>
  </si>
  <si>
    <t>10- Nº da Conta Corrente</t>
  </si>
  <si>
    <t>11- Saldo do Extrato Bancário</t>
  </si>
  <si>
    <r>
      <t xml:space="preserve">Data: </t>
    </r>
    <r>
      <rPr>
        <b/>
        <sz val="11"/>
        <color theme="1"/>
        <rFont val="Calibri"/>
        <family val="2"/>
        <scheme val="minor"/>
      </rPr>
      <t>31/12/2026</t>
    </r>
  </si>
  <si>
    <t>Valor (R$)</t>
  </si>
  <si>
    <t>BLOCO 3- DEMONSTRAÇÃO CONTÁBIL/FINANCEIRA</t>
  </si>
  <si>
    <t>12- Créditos não Demonstrados no Extrato</t>
  </si>
  <si>
    <t>13- Débitos não Demonstrados no Extrato</t>
  </si>
  <si>
    <t>14- Restos a Pagar Processados</t>
  </si>
  <si>
    <t>15- Saldo contábil
(11+12)-(13+14)</t>
  </si>
  <si>
    <t>Histórico</t>
  </si>
  <si>
    <t>Valor ($)</t>
  </si>
  <si>
    <t>16- TOTAL</t>
  </si>
  <si>
    <t>BLOCO 4- AUTENTICAÇÃO</t>
  </si>
  <si>
    <t>RJ, 31/12/26</t>
  </si>
  <si>
    <t>2 PARCELA CUSTEIO</t>
  </si>
  <si>
    <t>2 PARCELA CAPITAL</t>
  </si>
  <si>
    <t>04.10.001</t>
  </si>
  <si>
    <t>EM EMA NEGRÃO DE LIMA</t>
  </si>
  <si>
    <t>04.10.002</t>
  </si>
  <si>
    <t>EM ALBINO SOUZA CRUZ</t>
  </si>
  <si>
    <t>04.10.003</t>
  </si>
  <si>
    <t>EM RUY BARBOSA</t>
  </si>
  <si>
    <t>04.10.004</t>
  </si>
  <si>
    <t>EM PEDRO LESSA</t>
  </si>
  <si>
    <t>04.10.005</t>
  </si>
  <si>
    <t>EM JOÃO BARBALHO</t>
  </si>
  <si>
    <t>04.10.006</t>
  </si>
  <si>
    <t>EM PROFESSOR CARNEIRO RIBEIRO</t>
  </si>
  <si>
    <t>04.10.007</t>
  </si>
  <si>
    <t>EM PADRE MANUEL DA NÓBREGA</t>
  </si>
  <si>
    <t>04.10.008</t>
  </si>
  <si>
    <t>EM WALT DISNEY</t>
  </si>
  <si>
    <t>04.10.009</t>
  </si>
  <si>
    <t>EM DILERMANDO CRUZ</t>
  </si>
  <si>
    <t>04.10.010</t>
  </si>
  <si>
    <t>EM NERVAL DE GOUVEIA</t>
  </si>
  <si>
    <t>04.10.011</t>
  </si>
  <si>
    <t>EM EDMUNDO LINS</t>
  </si>
  <si>
    <t>04.10.013</t>
  </si>
  <si>
    <t>EM CARLOS CHAGAS</t>
  </si>
  <si>
    <t>04.10.015</t>
  </si>
  <si>
    <t>EM CLÓVIS BEVILÁQUA</t>
  </si>
  <si>
    <t>04.10.016</t>
  </si>
  <si>
    <t>EM CHILE</t>
  </si>
  <si>
    <t>04.10.018</t>
  </si>
  <si>
    <t>EM BERLIM</t>
  </si>
  <si>
    <t>04.10.020</t>
  </si>
  <si>
    <t>EM JORACY CAMARGO</t>
  </si>
  <si>
    <t>04.10.021</t>
  </si>
  <si>
    <t>EM BRASIL</t>
  </si>
  <si>
    <t>04.10.022</t>
  </si>
  <si>
    <t>EM ODILON DE ANDRADE</t>
  </si>
  <si>
    <t>04.10.023</t>
  </si>
  <si>
    <t>EM LUIZ CESAR SAYÃO GARCEZ</t>
  </si>
  <si>
    <t>04.10.025</t>
  </si>
  <si>
    <t>EM ANIBAL FREIRE</t>
  </si>
  <si>
    <t>04.10.026</t>
  </si>
  <si>
    <t>EM PROFESSORA MARIA DE CERQUEIRA E SILVA</t>
  </si>
  <si>
    <t>04.10.202</t>
  </si>
  <si>
    <t>CIEP YURI GAGARIN</t>
  </si>
  <si>
    <t>04.10.501</t>
  </si>
  <si>
    <t>CIEP JUSCELINO KUBITSCHEK</t>
  </si>
  <si>
    <t>04.10.502</t>
  </si>
  <si>
    <t>CIEP MAESTRO FRANCISCO MIGNONE</t>
  </si>
  <si>
    <t>04.10.601</t>
  </si>
  <si>
    <t>CM MANGUINHOS</t>
  </si>
  <si>
    <t>04.10.602</t>
  </si>
  <si>
    <t>CM DR JUVENIL DE SOUZA LOPES</t>
  </si>
  <si>
    <t>04.10.603</t>
  </si>
  <si>
    <t>CM CHICO BENTO</t>
  </si>
  <si>
    <t>04.10.701</t>
  </si>
  <si>
    <t>CENTRO DE EDUCAÇÃO DE JOVENS E ADULTOS  AVENIDA BRASIL</t>
  </si>
  <si>
    <t>04.10.801</t>
  </si>
  <si>
    <t>EDI DOUTOR DOMINGOS ARTHUR MACHADO FILHO</t>
  </si>
  <si>
    <t>04.10.802</t>
  </si>
  <si>
    <t>EDI DOUTOR ANTÔNIO FERNANDES FIGUEIRA</t>
  </si>
  <si>
    <t>04.10.803</t>
  </si>
  <si>
    <t>EDI JOAQUIM VENÂNCIO</t>
  </si>
  <si>
    <t>04.10.804</t>
  </si>
  <si>
    <t>EDI SARGENTO JORGE FALEIRO SOUZA</t>
  </si>
  <si>
    <t>04.10.805</t>
  </si>
  <si>
    <t>EDI COMPOSITOR NEOCI DIAS DE ANDRADE</t>
  </si>
  <si>
    <t>04.10.806</t>
  </si>
  <si>
    <t>EDI PIERRE JANET</t>
  </si>
  <si>
    <t>04.10.807</t>
  </si>
  <si>
    <t>EDI PROFESSORA TANIA DA ROCHA CORREA</t>
  </si>
  <si>
    <t>04.10.808</t>
  </si>
  <si>
    <t>EDI ALMIR LEITE RIBEIRO</t>
  </si>
  <si>
    <t>04.10.810</t>
  </si>
  <si>
    <t>EDI MIGUEL COUTO</t>
  </si>
  <si>
    <t>04.10.811</t>
  </si>
  <si>
    <t>EDI LAIS NETTO DOS REIS</t>
  </si>
  <si>
    <t>04.10.812</t>
  </si>
  <si>
    <t>EDI CORONEL ASSUNÇÃO</t>
  </si>
  <si>
    <t>04.11.001</t>
  </si>
  <si>
    <t>EM MONSENHOR ROCHA</t>
  </si>
  <si>
    <t>04.11.002</t>
  </si>
  <si>
    <t>EM BERNARDO DE VASCONCELLOS</t>
  </si>
  <si>
    <t>04.11.004</t>
  </si>
  <si>
    <t>EM LEONOR COELHO PEREIRA</t>
  </si>
  <si>
    <t>04.11.005</t>
  </si>
  <si>
    <t>EM PRESIDENTE EURICO DUTRA</t>
  </si>
  <si>
    <t>04.11.006</t>
  </si>
  <si>
    <t>EM CONDE DE AGROLONGO</t>
  </si>
  <si>
    <t>04.11.007</t>
  </si>
  <si>
    <t>EM ARIOSTO ESPINHEIRA</t>
  </si>
  <si>
    <t>04.11.008</t>
  </si>
  <si>
    <t>EM PROFESSOR SOUZA CARNEIRO</t>
  </si>
  <si>
    <t>04.11.009</t>
  </si>
  <si>
    <t>EM CIENTISTA MÁRIO KROEFF</t>
  </si>
  <si>
    <t>04.11.010</t>
  </si>
  <si>
    <t>EM BRANT HORTA</t>
  </si>
  <si>
    <t>04.11.011</t>
  </si>
  <si>
    <t>EM PROFESSOR AUGUSTO MOTTA</t>
  </si>
  <si>
    <t>04.11.012</t>
  </si>
  <si>
    <t>EM JOÃO MARQUES DOS REIS</t>
  </si>
  <si>
    <t>04.11.013</t>
  </si>
  <si>
    <t>EM FERNANDO TUDE DE SOUZA</t>
  </si>
  <si>
    <t>04.11.014</t>
  </si>
  <si>
    <t>EM JOÃO DE DEUS</t>
  </si>
  <si>
    <t>04.11.015</t>
  </si>
  <si>
    <t>EM SUÍÇA</t>
  </si>
  <si>
    <t>04.11.017</t>
  </si>
  <si>
    <t>EM MINISTRO AFRÂNIO COSTA</t>
  </si>
  <si>
    <t>04.11.018</t>
  </si>
  <si>
    <t>EM PROFESSOR ARY QUINTELLA</t>
  </si>
  <si>
    <t>04.11.020</t>
  </si>
  <si>
    <t>EM GRÉCIA</t>
  </si>
  <si>
    <t>04.11.021</t>
  </si>
  <si>
    <t>EM MIGUEL ÂNGELO</t>
  </si>
  <si>
    <t>04.11.022</t>
  </si>
  <si>
    <t>EM MARCÍLIO DIAS</t>
  </si>
  <si>
    <t>04.11.023</t>
  </si>
  <si>
    <t>EM MINISTRO PLÍNIO CASADO</t>
  </si>
  <si>
    <t>04.11.028</t>
  </si>
  <si>
    <t>EM SÃO PAULO</t>
  </si>
  <si>
    <t>04.11.036</t>
  </si>
  <si>
    <t>EM F J OLIVEIRA VIANA</t>
  </si>
  <si>
    <t>04.11.049</t>
  </si>
  <si>
    <t>EM CANTOR E COMPOSITOR GONZAGUINHA</t>
  </si>
  <si>
    <t>04.11.202</t>
  </si>
  <si>
    <t>CIEP GREGÓRIO BEZERRA</t>
  </si>
  <si>
    <t>04.11.502</t>
  </si>
  <si>
    <t>CIEP DEPUTADO JOSÉ CARLOS BRANDÃO MONTEIRO</t>
  </si>
  <si>
    <t>04.11.601</t>
  </si>
  <si>
    <t>CM CARLOS DRUMMOND DE ANDRADE</t>
  </si>
  <si>
    <t>04.11.602</t>
  </si>
  <si>
    <t>CM TEMPO DE APRENDER</t>
  </si>
  <si>
    <t>04.11.603</t>
  </si>
  <si>
    <t>CM MORRO DA PAZ</t>
  </si>
  <si>
    <t>04.11.604</t>
  </si>
  <si>
    <t>CM BETINHO</t>
  </si>
  <si>
    <t>04.11.605</t>
  </si>
  <si>
    <t>CM CARACOL</t>
  </si>
  <si>
    <t>04.11.607</t>
  </si>
  <si>
    <t>CM MARIA ALTAMIRA C OLEGÁRIO</t>
  </si>
  <si>
    <t>04.11.609</t>
  </si>
  <si>
    <t>CM TIA RUTH COSTA DOS SANTOS</t>
  </si>
  <si>
    <t>04.11.610</t>
  </si>
  <si>
    <t>CM MUSSUM  O TRAPALHÃO</t>
  </si>
  <si>
    <t>04.11.801</t>
  </si>
  <si>
    <t>EDI MARIANA ROCHA DE SOUZA</t>
  </si>
  <si>
    <t>04.11.802</t>
  </si>
  <si>
    <t>EDI JOEL LUIZ DE AZEVEDO BASTOS</t>
  </si>
  <si>
    <t>04.11.803</t>
  </si>
  <si>
    <t>EDI MARIA DE LOURDES FERREIRA</t>
  </si>
  <si>
    <t>04.11.804</t>
  </si>
  <si>
    <t>EDI MORRO DA FÉ</t>
  </si>
  <si>
    <t>04.11.805</t>
  </si>
  <si>
    <t>EDI EDMUNDO DA LUZ PINTO</t>
  </si>
  <si>
    <t>04.11.806</t>
  </si>
  <si>
    <t>EDI GÖETHE</t>
  </si>
  <si>
    <t>04.11.808</t>
  </si>
  <si>
    <t>EDI PIONEIRAS SOCIAIS Nº12</t>
  </si>
  <si>
    <t>04.11.809</t>
  </si>
  <si>
    <t>EDI SÃO VICENTE</t>
  </si>
  <si>
    <t>04.30.001</t>
  </si>
  <si>
    <t>EM PROFESSOR JOSUÉ DE CASTRO</t>
  </si>
  <si>
    <t>04.30.002</t>
  </si>
  <si>
    <t>EM TEOTONIO VILELA</t>
  </si>
  <si>
    <t>04.30.003</t>
  </si>
  <si>
    <t>EM BAHIA</t>
  </si>
  <si>
    <t>04.30.004</t>
  </si>
  <si>
    <t>EM IV CENTENÁRIO</t>
  </si>
  <si>
    <t>04.30.005</t>
  </si>
  <si>
    <t>EM TENENTE GENERAL NAPION</t>
  </si>
  <si>
    <t>04.30.007</t>
  </si>
  <si>
    <t>EM NOVA HOLANDA</t>
  </si>
  <si>
    <t>04.30.009</t>
  </si>
  <si>
    <t>EM PROFESSOR PAULO FREIRE</t>
  </si>
  <si>
    <t>04.30.010</t>
  </si>
  <si>
    <t>EM ESCRITOR BARTOLOMEU CAMPOS DE QUEIRÓS</t>
  </si>
  <si>
    <t>04.30.011</t>
  </si>
  <si>
    <t>EM ESCRITOR LÊDO IVO</t>
  </si>
  <si>
    <t>04.30.012</t>
  </si>
  <si>
    <t>EM GENIVAL PEREIRA DE ALBUQUERQUE</t>
  </si>
  <si>
    <t>04.30.013</t>
  </si>
  <si>
    <t>EM OSMAR PAIVA CAMELO</t>
  </si>
  <si>
    <t>04.30.014</t>
  </si>
  <si>
    <t>EM LINO MARTINS DA SILVA</t>
  </si>
  <si>
    <t>04.30.015</t>
  </si>
  <si>
    <t>EM ERPÍDIO CABRAL DE SOUZA (ÍNDIO DA MARÉ)</t>
  </si>
  <si>
    <t>04.30.016</t>
  </si>
  <si>
    <t>EM OLIMPÍADAS RIO 2016</t>
  </si>
  <si>
    <t>04.30.018</t>
  </si>
  <si>
    <t>EM MEDALHISTA OLÍMPICO LUCAS SAATKAMP</t>
  </si>
  <si>
    <t>04.30.019</t>
  </si>
  <si>
    <t>EM ESCRITOR MILLÔR FERNANDES</t>
  </si>
  <si>
    <t>04.30.020</t>
  </si>
  <si>
    <t>EM VEREADORA MARIELLE FRANCO</t>
  </si>
  <si>
    <t>04.30.201</t>
  </si>
  <si>
    <t>CIEP MINISTRO GUSTAVO CAPANEMA</t>
  </si>
  <si>
    <t>04.30.204</t>
  </si>
  <si>
    <t>CIEP OPERÁRIO VICENTE MARIANO</t>
  </si>
  <si>
    <t>04.30.206</t>
  </si>
  <si>
    <t>CIEP HÉLIO SMIDT</t>
  </si>
  <si>
    <t>04.30.501</t>
  </si>
  <si>
    <t>CIEP PRESIDENTE SAMORA MACHEL</t>
  </si>
  <si>
    <t>04.30.502</t>
  </si>
  <si>
    <t>CIEP ELIS REGINA</t>
  </si>
  <si>
    <t>04.30.503</t>
  </si>
  <si>
    <t>CIEP LEONEL DE MOURA BRIZOLA</t>
  </si>
  <si>
    <t>04.30.601</t>
  </si>
  <si>
    <t>CM MENINO MALUQUINHO</t>
  </si>
  <si>
    <t>04.30.602</t>
  </si>
  <si>
    <t>CM VILA PINHEIRO</t>
  </si>
  <si>
    <t>04.30.603</t>
  </si>
  <si>
    <t>CM TIO MÁRIO</t>
  </si>
  <si>
    <t>04.30.604</t>
  </si>
  <si>
    <t>CM MONTEIRO LOBATO</t>
  </si>
  <si>
    <t>04.30.605</t>
  </si>
  <si>
    <t>CM NOVA HOLANDA</t>
  </si>
  <si>
    <t>04.30.607</t>
  </si>
  <si>
    <t>CM PROFESSOR PAULO FREIRE</t>
  </si>
  <si>
    <t>04.30.701</t>
  </si>
  <si>
    <t>CENTRO DE EDUCAÇÃO DE JOVENS E ADULTOS CEJA  MARÉ</t>
  </si>
  <si>
    <t>04.30.801</t>
  </si>
  <si>
    <t>EDI PESCADOR ISIDORO DUARTE  "DORO"</t>
  </si>
  <si>
    <t>04.30.802</t>
  </si>
  <si>
    <t>EDI PROFESSORA KELITA FARIA DE PAULA</t>
  </si>
  <si>
    <t>04.30.803</t>
  </si>
  <si>
    <t>EDI PROFESSOR MOACYR DE GÓES</t>
  </si>
  <si>
    <t>04.30.804</t>
  </si>
  <si>
    <t>EDI CREMILDA DA SILVA DOS SANTOS</t>
  </si>
  <si>
    <t>04.30.805</t>
  </si>
  <si>
    <t>EDI PROFESSORA SOLANGE CONCEIÇÃO TRICARICO</t>
  </si>
  <si>
    <t>04.30.806</t>
  </si>
  <si>
    <t>EDI CLEIA SANTOS DE OLIVEIRA</t>
  </si>
  <si>
    <t>04.30.807</t>
  </si>
  <si>
    <t>EDI MARIA AMÉLIA CASTRO E SILVA BELFORT</t>
  </si>
  <si>
    <t>04.30.808</t>
  </si>
  <si>
    <t>EDI AZOILDA TRINDADE (ZÔ)</t>
  </si>
  <si>
    <t>04.30.809</t>
  </si>
  <si>
    <t>EDI MEDALHISTA OLÍMPICO LUIZ FELIPE MARQUES FONTELES</t>
  </si>
  <si>
    <t>04.30.810</t>
  </si>
  <si>
    <t>EDI MEDALHISTA OLÍMPICO EVANDRO MOTTA MARCONDES GUERRA</t>
  </si>
  <si>
    <t>04.30.811</t>
  </si>
  <si>
    <t>EDI MEDALHISTA OLÍMPICO WILLIAM PEIXOTO ARJONA</t>
  </si>
  <si>
    <t>04.30.812</t>
  </si>
  <si>
    <t>EDI MEDALHISTA OLÍMPICO EDER FRANCIS CARBONERA</t>
  </si>
  <si>
    <t>04.30.813</t>
  </si>
  <si>
    <t>EDI ARMANDO DE SALLES OLIVEIRA</t>
  </si>
  <si>
    <t>04.30.814</t>
  </si>
  <si>
    <t>EDI JOÃO CRISÓSTOMO</t>
  </si>
  <si>
    <t>04.30.815</t>
  </si>
  <si>
    <t>EDI PESCADOR ALBANO ROSA</t>
  </si>
  <si>
    <t>04.31.001</t>
  </si>
  <si>
    <t>EM ARY BARROSO</t>
  </si>
  <si>
    <t>04.31.002</t>
  </si>
  <si>
    <t>EM DAVID PEREZ</t>
  </si>
  <si>
    <t>04.31.003</t>
  </si>
  <si>
    <t>EM MIGUEL GUSTAVO</t>
  </si>
  <si>
    <t>04.31.004</t>
  </si>
  <si>
    <t>EM ALFREDO GOMES</t>
  </si>
  <si>
    <t>04.31.006</t>
  </si>
  <si>
    <t>EM SÃO JOÃO BATISTA</t>
  </si>
  <si>
    <t>04.31.007</t>
  </si>
  <si>
    <t>EM EMBAIXADOR BARROS HURTADO</t>
  </si>
  <si>
    <t>04.31.008</t>
  </si>
  <si>
    <t>EM ODILON BRAGA</t>
  </si>
  <si>
    <t>04.31.009</t>
  </si>
  <si>
    <t>EM RORAIMA</t>
  </si>
  <si>
    <t>04.31.010</t>
  </si>
  <si>
    <t>EM ARMANDO FAJARDO</t>
  </si>
  <si>
    <t>04.31.011</t>
  </si>
  <si>
    <t>EM RAUL PEDERNEIRAS</t>
  </si>
  <si>
    <t>04.31.013</t>
  </si>
  <si>
    <t>EM MONTESE</t>
  </si>
  <si>
    <t>04.31.014</t>
  </si>
  <si>
    <t>EM MINISTRO LAFAYETTE DE ANDRADA</t>
  </si>
  <si>
    <t>04.31.015</t>
  </si>
  <si>
    <t>EM JOSEPH BLOCH</t>
  </si>
  <si>
    <t>04.31.016</t>
  </si>
  <si>
    <t>EM CRUZADA SÃO SEBASTIÃO</t>
  </si>
  <si>
    <t>04.31.017</t>
  </si>
  <si>
    <t>EM CARDEAL CÂMARA</t>
  </si>
  <si>
    <t>04.31.018</t>
  </si>
  <si>
    <t>EM REPÚBLICA DO LÍBANO</t>
  </si>
  <si>
    <t>04.31.019</t>
  </si>
  <si>
    <t>EM JORGE DE GOUVEIA</t>
  </si>
  <si>
    <t>04.31.021</t>
  </si>
  <si>
    <t>EM HEITOR BELTRÃO</t>
  </si>
  <si>
    <t>04.31.022</t>
  </si>
  <si>
    <t>EM ENEYDA RABELLO DE ANDRADE</t>
  </si>
  <si>
    <t>04.31.023</t>
  </si>
  <si>
    <t>EM PRESIDENTE GRONCHI</t>
  </si>
  <si>
    <t>04.31.024</t>
  </si>
  <si>
    <t>EM ANDRADE NEVES</t>
  </si>
  <si>
    <t>04.31.026</t>
  </si>
  <si>
    <t>EM HERBERT MOSES</t>
  </si>
  <si>
    <t>04.31.027</t>
  </si>
  <si>
    <t>EM ZÉLIA BRAUNE</t>
  </si>
  <si>
    <t>04.31.501</t>
  </si>
  <si>
    <t>CIEP MESTRE CARTOLA (AGENOR DE OLIVEIRA)</t>
  </si>
  <si>
    <t>04.31.502</t>
  </si>
  <si>
    <t>CIEP GRACILIANO RAMOS</t>
  </si>
  <si>
    <t>04.31.601</t>
  </si>
  <si>
    <t>CM LUÍS CARLOS DE OLIVEIRA CÂMARA</t>
  </si>
  <si>
    <t>04.31.602</t>
  </si>
  <si>
    <t>CM BARBOSA LIMA SOBRINHO</t>
  </si>
  <si>
    <t>04.31.603</t>
  </si>
  <si>
    <t>CM CHICO MENDES</t>
  </si>
  <si>
    <t>04.31.604</t>
  </si>
  <si>
    <t>CM CORAÇÃO DE GENEVE</t>
  </si>
  <si>
    <t>04.31.605</t>
  </si>
  <si>
    <t>CM SEMPRE VIDA DIQUE</t>
  </si>
  <si>
    <t>04.31.606</t>
  </si>
  <si>
    <t>CM VISCONDE DE SABUGOSA</t>
  </si>
  <si>
    <t>04.31.607</t>
  </si>
  <si>
    <t>CM ACAUÃ</t>
  </si>
  <si>
    <t>04.31.608</t>
  </si>
  <si>
    <t>CM ARI PIMENTEL</t>
  </si>
  <si>
    <t>04.31.801</t>
  </si>
  <si>
    <t>EDI CARVALHO MOURÃO</t>
  </si>
  <si>
    <t>04.31.802</t>
  </si>
  <si>
    <t>EDI PROFESSOR CARLOS FALSETH</t>
  </si>
  <si>
    <t>04.31.803</t>
  </si>
  <si>
    <t>EDI PROFESSOR EMMANUEL PEREIRA FILHO</t>
  </si>
  <si>
    <t>04.31.804</t>
  </si>
  <si>
    <t>EDI ALFREDO VALLADÃO</t>
  </si>
  <si>
    <t>04.31.805</t>
  </si>
  <si>
    <t>EDI CÔNEGO FERNANDES PINHEIRO</t>
  </si>
  <si>
    <t>ESTRADA DE MANGUINHOS 4 , MANGUINHOS - CEP: 21050007</t>
  </si>
  <si>
    <t>AV. DOS DEMOCRATICOS  268 , MANGUINHOS - CEP: 21050060</t>
  </si>
  <si>
    <t>RUA AGUIAR MOREIRA 652 , BONSUCESSO - CEP: 21041070</t>
  </si>
  <si>
    <t>RUA ADAIL 49 , BONSUCESSO - CEP: 21040000</t>
  </si>
  <si>
    <t>RUA DOUTOR MIGUEL VIEIRA FERREIRA 392 , RAMOS - CEP: 21060090</t>
  </si>
  <si>
    <t>RUA PROFESSOR LACE 157 , RAMOS - CEP: 21060120</t>
  </si>
  <si>
    <t>RUA PROFESSOR LACE 437 FUNDOS, RAMOS - CEP: 21060120</t>
  </si>
  <si>
    <t>RUA PROFESSOR LACE 437 , RAMOS - CEP: 21060120</t>
  </si>
  <si>
    <t>AV TEIXEIRA DE CASTRO 407 , BONSUCESSO - CEP: 21040113</t>
  </si>
  <si>
    <t>ESTRADA DO ENGENHO DA PEDRA 528 , RAMOS - CEP: 21010000</t>
  </si>
  <si>
    <t>RUA NOSSA SENHORA DAS GRAÇAS 699 FUNDOS, RAMOS - CEP: 21031611</t>
  </si>
  <si>
    <t>RUA ROMERO ZANDER 420 , RAMOS - CEP: 21040080</t>
  </si>
  <si>
    <t>RUA ANTONIO REGO  383 , OLARIA - CEP: 21073311</t>
  </si>
  <si>
    <t>PRAÇA BELMONTE 15 , OLARIA - CEP: 21073010</t>
  </si>
  <si>
    <t>PRAÇA RAMOS FIGUEIRA 20 , OLARIA - CEP: 21031440</t>
  </si>
  <si>
    <t>ESTRADA JOSE RUCAS 1465 , OLARIA - CEP: 21070370</t>
  </si>
  <si>
    <t>RUA ANDRÉ AZEVEDO S/Nº , OLARIA - CEP: 21021480</t>
  </si>
  <si>
    <t>RUA ITAPE S/Nº , OLARIA - CEP: 21071440</t>
  </si>
  <si>
    <t>RUA PARANAPANEMA 1055 , OLARIA - CEP: 21073185</t>
  </si>
  <si>
    <t>RUA PROFESSOR PLÍNIO BASTOS 631 , OLARIA - CEP: 21021350</t>
  </si>
  <si>
    <t>RUA LEOPOLDO BULHÕES  800 , BENFICA - CEP: 20911300</t>
  </si>
  <si>
    <t>AVENIDA DOS CAMPEÕES S/Nº , RAMOS - CEP: 21040016</t>
  </si>
  <si>
    <t>RUA LEOPOLDO BULHOES S/Nº , BONSUCESSO - CEP: 21041210</t>
  </si>
  <si>
    <t>RUA ITAPE S/N , OLARIA - CEP: 21071440</t>
  </si>
  <si>
    <t>RUA LEOPOLDO BULHOES 952 , BONSUCESSO - CEP: 21041210</t>
  </si>
  <si>
    <t>RUA JOÃO GONÇALVES DE LIMA FILHO S/N , RAMOS - CEP: 21040018</t>
  </si>
  <si>
    <t>RUA LEOPOLDO BULHÕES S/Nº , MANGUINHOS - CEP: 21041210</t>
  </si>
  <si>
    <t>AVENIDA POSTAL 49 , RAMOS - CEP: 21040150</t>
  </si>
  <si>
    <t>RUA LEOPOLDO BULHÕES  540 A, BENFICA - CEP: 20911300</t>
  </si>
  <si>
    <t>AVENIDA DOS DEMOCRÁTICOS 20 , MANGUINHOS - CEP: 21050000</t>
  </si>
  <si>
    <t>RUA HESPERIA 15 , MANGUINHOS - CEP: 21050040</t>
  </si>
  <si>
    <t>RUA WILSON DE LASHERAS SILVA S/Nº , OLARIA - CEP: 21073230</t>
  </si>
  <si>
    <t>RUA NOSSA SENHORA DAS GRAÇAS 699 , RAMOS - CEP: 21031611</t>
  </si>
  <si>
    <t>RUA ITAPE 52 , OLARIA - CEP: 21071440</t>
  </si>
  <si>
    <t>ESTRADA JOSÉ RUCAS 1515 , PENHA - CEP: 21070370</t>
  </si>
  <si>
    <t>RUA PROFESSOR  BASTOS  S/Nº , OLARIA - CEP: 21021350</t>
  </si>
  <si>
    <t>PRAÇA BELMONTE 7 , OLARIA - CEP: 21073010</t>
  </si>
  <si>
    <t>RUA PARANAPANEMA 1001 , OLARIA - CEP: 21073180</t>
  </si>
  <si>
    <t>AVENIDA NOSSA SENHORA DA PENHA 589 , PENHA - CEP: 21070390</t>
  </si>
  <si>
    <t>PRAÇA SANTA ROSÁLIA 100 , PENHA - CEP: 21070440</t>
  </si>
  <si>
    <t>AVENIDA NOSSA SENHORA DA PENHA 500 , PENHA - CEP: 21070390</t>
  </si>
  <si>
    <t>RUA SANTA ENGRÁCIA S/Nº , PENHA - CEP: 21021080</t>
  </si>
  <si>
    <t>RUA CONDE DE AGROLONGO 1246 , PENHA - CEP: 21020190</t>
  </si>
  <si>
    <t>PRAÇA CAÍ S/N , PENHA - CEP: 21020140</t>
  </si>
  <si>
    <t>RUA CALIFÓRNIA 255 , PENHA CIRCULAR - CEP: 21020150</t>
  </si>
  <si>
    <t>RUA DO COUTO 91 , PENHA - CEP: 21020410</t>
  </si>
  <si>
    <t>RUA BENTO CARDOSO 130 , PENHA CIRCULAR - CEP: 21215000</t>
  </si>
  <si>
    <t>RUA BENTO CARDOSO 140 , PENHA CIRCULAR - CEP: 21215000</t>
  </si>
  <si>
    <t>PRAÇA SAICA 57 , BRÁS DE PINA - CEP: 21215170</t>
  </si>
  <si>
    <t>PRAÇA SAICA 9 , BRÁS DE PINA - CEP: 21215170</t>
  </si>
  <si>
    <t>PRAÇA ALMEIDA GARRET S/N , PENHA CIRCULAR - CEP: 21011490</t>
  </si>
  <si>
    <t>PRAÇA ANTÔNIO JOSÉ DE ALMEIDA S/Nº , PENHA CIRCULAR - CEP: 21011580</t>
  </si>
  <si>
    <t>PRAÇA ESPLANADA S/N , PENHA CIRCULAR - CEP: 21012010</t>
  </si>
  <si>
    <t>RUA ENGENHEIRO MOREIRA LIMA 54 , PENHA CIRCULAR - CEP: 21210720</t>
  </si>
  <si>
    <t>AVENIDA BRAZ DE PINA 1614 , BRÁS DE PINA - CEP: 21235603</t>
  </si>
  <si>
    <t>RUA CARLOS CHAMBERLAND 187 , VILA DA PENHA - CEP: 21210090</t>
  </si>
  <si>
    <t>RUA EMÍLIO MIRANDA 99 , VILA DA PENHA - CEP: 21211720</t>
  </si>
  <si>
    <t>RUA PEQUIRI 237 , BRÁS DE PINA - CEP: 21215110</t>
  </si>
  <si>
    <t>RUA TAILÂNDIA 160 , BRÁS DE PINA - CEP: 21011350</t>
  </si>
  <si>
    <t>AVENIDA SCHULTZ WENK S/Nº , CORDOVIL - CEP: 21012155</t>
  </si>
  <si>
    <t>RUA DALVA DE OLIVEIRA S/N° , PENHA CIRCULAR - CEP: 21011804</t>
  </si>
  <si>
    <t>RUA PLÍNIO DE OLIVEIRA S/Nº , PENHA CIRCULAR - CEP: 21070040</t>
  </si>
  <si>
    <t>RUA SÃO VICENTE DE PAULA 625 , PENHA - CEP: 21070040</t>
  </si>
  <si>
    <t>RUA DO CAJÁ S/Nº , PENHA - CEP: 21070000</t>
  </si>
  <si>
    <t>RUA FORTALEZA S/Nº , PENHA CIRCULAR - CEP: 21210490</t>
  </si>
  <si>
    <t>RUA FREI GASPAR 351 PRAÇA DO CARMO, PENHA CIRCULAR - CEP: 21210270</t>
  </si>
  <si>
    <t>RUA BOM PASTOR 18 GROTÃO, PENHA - CEP: 21070310</t>
  </si>
  <si>
    <t>RUA MARAGOGI S/Nº BECO GEORGINA, 32, PENHA - CEP: 21070180</t>
  </si>
  <si>
    <t>RUA VICENTE CANECO 200 MANGUEIRINHA, VILA DA PENHA - CEP: 21215550</t>
  </si>
  <si>
    <t>RUA SANTA CAMILA PIA 274 , PENHA - CEP: 21021060</t>
  </si>
  <si>
    <t>RUA VIÇOSA 372 MORRO DO SERENO, PENHA CIRCULAR - CEP: 21210370</t>
  </si>
  <si>
    <t>RUA ARQUIMEDES MEMÓRIA S/Nº , VILA DA PENHA - CEP: 21210070</t>
  </si>
  <si>
    <t>RUA MATURACÁ  381 , PENHA CIRCULAR - CEP: 21210360</t>
  </si>
  <si>
    <t>AVENIDA LOBO JÚNIOR 2271 , PENHA CIRCULAR - CEP: 21070061</t>
  </si>
  <si>
    <t>RUA MATURACA 366 MORRO DA FÉ, VILA DA PENHA - CEP: 21210360</t>
  </si>
  <si>
    <t>RUA TABORARI S/N , BRÁS DE PINA - CEP: 21011240</t>
  </si>
  <si>
    <t>RUA SALVIANO VALENTE  S/Nº , PENHA CIRCULAR - CEP: 21211000</t>
  </si>
  <si>
    <t>RUA IRMÃ PAULA 02 , PENHA - CEP: 21070360</t>
  </si>
  <si>
    <t>RUA ADORAÇÃO  S/Nº , MARÉ - CEP: 21046575</t>
  </si>
  <si>
    <t>RUA MANOEL FALCÃO ALVES MARANHÂO S/N° CONJUNTO ESPERANÇA, MANGUINHOS - CEP: 21041615</t>
  </si>
  <si>
    <t>AVENIDA GUILHERME MAXWELL 243 , BONSUCESSO - CEP: 21040212</t>
  </si>
  <si>
    <t>RUA NOVA JERUSALÉM 495 , BONSUCESSO - CEP: 21040220</t>
  </si>
  <si>
    <t>AVENIDA ALMIRANTE FRONTIN 50 , RAMOS - CEP: 21030040</t>
  </si>
  <si>
    <t>RUA PROJETADA S/Nº , MARÉ - CEP: 21044771</t>
  </si>
  <si>
    <t>AVENIDA CANAL/ VIA B 1  S/Nº MARÉ, MANGUINHOS - CEP: 21040361</t>
  </si>
  <si>
    <t>RUA TANCREDO NEVES  82 , MARÉ - CEP: 21044725</t>
  </si>
  <si>
    <t>RUA PRAIA DE INHAUMA 200 BONSUCESSO, MARÉ - CEP: 21042130</t>
  </si>
  <si>
    <t>RUA TEIXEIRA RIBEIRO 1000 BLOCO 5, BONSUCESSO - CEP: 21044251</t>
  </si>
  <si>
    <t>RUA PROJETADA S/Nº , MARÉ - CEP: 21044763</t>
  </si>
  <si>
    <t>RUA IVANILDO ALVES  S/Nº , BONSUCESSO - CEP: 21043230</t>
  </si>
  <si>
    <t>RUA  IVANILDO ALVES  S/N  , BONSUCESSO - CEP: 21043230</t>
  </si>
  <si>
    <t>RUA PROJETADA D  S/N , MARÉ - CEP: 21046425</t>
  </si>
  <si>
    <t>RUA PROJETADA G S/Nº MARÉ, BONSUCESSO - CEP: 21046425</t>
  </si>
  <si>
    <t>RUA PROJETADA D S/N MARÉ / VILA DO PINHEIRO, BONSUCESSO  - CEP: 21046410</t>
  </si>
  <si>
    <t>VIA A1 S/Nº VILA DO PINHEIRO, MARÉ - CEP: 21046035</t>
  </si>
  <si>
    <t>RUA PRAIA DE INHAUMA S/Nº , MARÉ - CEP: 21042130</t>
  </si>
  <si>
    <t>RUA TANCREDO NEVES S/Nº, CEP 21.044-725, MARÉ - CEP: 21044725</t>
  </si>
  <si>
    <t>RUA PRINCIPAL S/Nº NOVA HOLANDA, MARÉ - CEP: 21044170</t>
  </si>
  <si>
    <t>RUA PRINCIPAL S/N , BONSUCESSO - CEP: 21044170</t>
  </si>
  <si>
    <t>AVENIDA BRASIL 8666 , RAMOS - CEP: 21030001</t>
  </si>
  <si>
    <t>RUA PROJETADA A S/N , MARÉ - CEP: 21046400</t>
  </si>
  <si>
    <t>RUA VIA A 1  S/N , MARÉ - CEP: 21046035</t>
  </si>
  <si>
    <t>AVENIDA CANAL 2 - LADO DIREITO S/N , MARÉ - CEP: 21046510</t>
  </si>
  <si>
    <t>RUA TATAJUBA S/Nº , MARÉ - CEP: 21043500</t>
  </si>
  <si>
    <t>RUA SARGENTO SILVA NUNES 1004 , RAMOS - CEP: 21044242</t>
  </si>
  <si>
    <t>RUA B  S/N , BONSUCESSO - CEP: 21042510</t>
  </si>
  <si>
    <t>RUA PRAIA DE INHAUMA 200 , MARÉ - CEP: 21042130</t>
  </si>
  <si>
    <t>RUA PRAIA DE INHAÚMA 39 , MARÉ - CEP: 21042130</t>
  </si>
  <si>
    <t>AV. GUILHERME MAXWELL 107 MARÉ, BONSUCESSO - CEP: 21040211</t>
  </si>
  <si>
    <t>RUA TANCREDO NEVES S/N , MARÉ - CEP: 21044725</t>
  </si>
  <si>
    <t>R PRAIA DE INHAUMA  S/N , MARÉ - CEP: 21042130</t>
  </si>
  <si>
    <t>AV GUILHERME MAXWELL 107 B, BONSUCESSO - CEP: 21040211</t>
  </si>
  <si>
    <t>RUA SARGENTO SILVA NUNES 1008 , RAMOS - CEP: 21044242</t>
  </si>
  <si>
    <t>RUA TANCREDO NEVES S/N , BONSUCESSO - CEP: 21044725</t>
  </si>
  <si>
    <t>RUA TANCREDO NEVES  S/N , MARÉ - CEP: 21044725</t>
  </si>
  <si>
    <t>RUA PROJETADA G  S/N , MARÉ - CEP: 21046425</t>
  </si>
  <si>
    <t>RUA GERSON FERREIRA  52 , RAMOS  - CEP: 21030152</t>
  </si>
  <si>
    <t>AVENIDA BENTO RIBEIRO DANTAS S/N , MARÉ - CEP: 21042000</t>
  </si>
  <si>
    <t>RUA MENDOZA 323 , BRÁS DE PINA - CEP: 21211180</t>
  </si>
  <si>
    <t>RUA PACHECO JUNIOR  S/Nº , BRÁS DE PINA - CEP: 21211170</t>
  </si>
  <si>
    <t>RUA MINDURI S/Nº , BRÁS DE PINA - CEP: 21215480</t>
  </si>
  <si>
    <t>RUA TENENTE PALESTRINA 538 , CORDOVIL - CEP: 21250550</t>
  </si>
  <si>
    <t>PRAÇA LAGUNA 40 , CORDOVIL - CEP: 21250310</t>
  </si>
  <si>
    <t>RUA GENERAL CARVALHO 702 , CORDOVIL - CEP: 21250240</t>
  </si>
  <si>
    <t>PRAÇA LAGUNA S/N , CORDOVIL - CEP: 21250310</t>
  </si>
  <si>
    <t>ESTRADA PORTO VELHO 50 , CORDOVIL - CEP: 21012140</t>
  </si>
  <si>
    <t>RUA CINCO RIOS 46 , CORDOVIL - CEP: 21010180</t>
  </si>
  <si>
    <t>RUA PONTO CHIQUE 42 , CORDOVIL - CEP: 21010315</t>
  </si>
  <si>
    <t>RUA MAR GRANDE 315 , CORDOVIL - CEP: 21010290</t>
  </si>
  <si>
    <t>RUA POÇO CENTRAL S/Nº , CORDOVIL - CEP: 21010260</t>
  </si>
  <si>
    <t>RUA ÁLVARO DE MACEDO 77 , PARADA DE LUCAS - CEP: 21250620</t>
  </si>
  <si>
    <t>RUA DA DEMOCRACIA  31 , PARADA DE LUCAS - CEP: 21010720</t>
  </si>
  <si>
    <t>RUA ANAMA 98 , VIGÁRIO GERAL - CEP: 21241020</t>
  </si>
  <si>
    <t>PRAÇA ELBA 1.215 , VIGÁRIO GERAL - CEP: 21241170</t>
  </si>
  <si>
    <t>RUA GREGÓRIO DE MATOS  S/Nº LOTE 3, QUADRA 9, VIGÁRIO GERAL - CEP: 21240670</t>
  </si>
  <si>
    <t>RUA OTRANTO 680 , VIGÁRIO GERAL - CEP: 21241090</t>
  </si>
  <si>
    <t>PRAÇA ALBERTO TORRES 37 , VIGÁRIO GERAL - CEP: 21241350</t>
  </si>
  <si>
    <t>RUA JORGE LACERDA S/Nº , JARDIM AMÉRICA - CEP: 21240060</t>
  </si>
  <si>
    <t>RUA VIANA DO CASTELO S/N , JARDIM AMÉRICA - CEP: 21240200</t>
  </si>
  <si>
    <t>RUA CRISTIANO MACHADO S/Nº , JARDIM AMÉRICA - CEP: 21240470</t>
  </si>
  <si>
    <t>RUA GEORGE BIZET S/Nº , JARDIM AMÉRICA - CEP: 21240460</t>
  </si>
  <si>
    <t>RUA DA DEMOCRACIA S/N , VIGÁRIO GERAL - CEP: 21210720</t>
  </si>
  <si>
    <t>RUA JORNALISTA GERALDO ROCHA S/N , JARDIM AMÉRICA - CEP: 21240080</t>
  </si>
  <si>
    <t>RUA MAR GRANDE S/Nº , CORDOVIL - CEP: 21010290</t>
  </si>
  <si>
    <t>RUA DIQUE  166 , JARDIM AMÉRICA - CEP: 21240800</t>
  </si>
  <si>
    <t>RUA PONTO CHIQUE 261 , CORDOVIL - CEP: 21010315</t>
  </si>
  <si>
    <t>RUA MANOEL DA LUZ S/N , VIGÁRIO GERAL - CEP: 21011774</t>
  </si>
  <si>
    <t>RUA TALES DE CARVALHO S/Nº , JARDIM AMÉRICA - CEP: 21240330</t>
  </si>
  <si>
    <t>RUA JASMIM  01 , PAVUNA - CEP: 21535580</t>
  </si>
  <si>
    <t>RUA DOUTOR ADAUTO S/N , VIGÁRIO GERAL - CEP: 21010770</t>
  </si>
  <si>
    <t>RUA LEDA SANTANA 12 , PARADA DE LUCAS - CEP: 21010735</t>
  </si>
  <si>
    <t>PRAÇA DOM JUSTINO 177 CIDADE ALTA, CORDOVIL - CEP: 21010640</t>
  </si>
  <si>
    <t>RUA DEBUSSY 148 , JARDIM AMÉRICA - CEP: 21240450</t>
  </si>
  <si>
    <t>PRAÇA LAGUNA 102 , CORDOVIL - CEP: 21250310</t>
  </si>
  <si>
    <t>PRAÇA IRINEU MACHADO 20 , VIGÁRIO GERAL - CEP: 21240700</t>
  </si>
  <si>
    <t>RUA SEBASTIAN BACH S/Nº , JARDIM AMÉRICA - CEP: 21240370</t>
  </si>
  <si>
    <t>MARIA DE LURDES PEREIRA DOS SANTOS</t>
  </si>
  <si>
    <t>ANDREA DOS SANTOS SIMOES</t>
  </si>
  <si>
    <t>IVONE LUISA FRANCISCO FERREIRA</t>
  </si>
  <si>
    <t>ANDREA PAULA PAIVA NASCIMENTO</t>
  </si>
  <si>
    <t>ELDO MARCELINO FAGUNDES</t>
  </si>
  <si>
    <t>ELAINE TAVARES VIEIRA SOARES</t>
  </si>
  <si>
    <t>CLAUDIA DA COSTA MUDESTO FERNANDES</t>
  </si>
  <si>
    <t>VALERIA MARIA CARLOS SEMIDEI</t>
  </si>
  <si>
    <t>THIAGO MENDONÇA DOS SANTOS</t>
  </si>
  <si>
    <t>JAMILLY GOMES MONTEIRO</t>
  </si>
  <si>
    <t>ERIC MORITZ DE CAMPOS</t>
  </si>
  <si>
    <t>MARALILA SAMPAIO DOS SANTOS</t>
  </si>
  <si>
    <t>LUCIANA DA COSTA MARQUES</t>
  </si>
  <si>
    <t>ROSELI SOBREIRA BORREGO</t>
  </si>
  <si>
    <t>MARIA IGNEZ CECCOPIERI BAPTISTA</t>
  </si>
  <si>
    <t>TELMA DA SILVA TEIXEIRA MENDES</t>
  </si>
  <si>
    <t>MARCIA RODRIGUES DA SILVEIRA SANTOS</t>
  </si>
  <si>
    <t>LEANDRO OLIVEIRA DE ALMEIDA</t>
  </si>
  <si>
    <t>CRISTIANE DUTRA LANOR DA SILVA</t>
  </si>
  <si>
    <t>BERNILDA LEOBONS SILVA</t>
  </si>
  <si>
    <t>VANESSA RODRIGUES MORAES DO NASCIMENTO</t>
  </si>
  <si>
    <t>VALERIA CARNEIRO FERNANDES</t>
  </si>
  <si>
    <t>RAFAEL DE LIMA LIMA</t>
  </si>
  <si>
    <t>ADRIANA CASTRO SILVA KOENIGKAM</t>
  </si>
  <si>
    <t>LUCIANA CERQUEIRA DOS SANTOS</t>
  </si>
  <si>
    <t>SANDRA OLIVIA REIS DE SOUZA</t>
  </si>
  <si>
    <t>BIANCA MEDRADO MONTEIRO DO NASCIMENTO</t>
  </si>
  <si>
    <t>ROSANGELA OLIVEIRA DA SILVA</t>
  </si>
  <si>
    <t>ANA LUCIA SALVADORA GRISOLIA</t>
  </si>
  <si>
    <t>MARCELO VILA NOVA DE LIMA</t>
  </si>
  <si>
    <t>IAGO DE ARAUJO SILVA</t>
  </si>
  <si>
    <t>MARGARETH DE SOUZA TEODORO</t>
  </si>
  <si>
    <t>SUELI DE LEMOS MORSCH</t>
  </si>
  <si>
    <t>EDIJANES DA SILVA BITTENCOURT  DE  CARVALHO</t>
  </si>
  <si>
    <t>PATRICIA DANIELE ALVARENGA DE MELO</t>
  </si>
  <si>
    <t>GABRIEL OLIVEIRA DE CARVALHO</t>
  </si>
  <si>
    <t>MAGALY DINIZ DE SOUZA MOURA</t>
  </si>
  <si>
    <t>MARIA APARECIDA DANTAS RODRIGUES</t>
  </si>
  <si>
    <t>RENATA BORGES PESSANHA</t>
  </si>
  <si>
    <t>PRISCILA CAMILA CARDOSO RODRIGUES</t>
  </si>
  <si>
    <t>RENATO LIMA SAMPAIO</t>
  </si>
  <si>
    <t>VERA LUCIA DE SOUZA CALDAS</t>
  </si>
  <si>
    <t>VANIA DE MATTOS AZEVEDO</t>
  </si>
  <si>
    <t>RAFAELA BRAVO</t>
  </si>
  <si>
    <t>BIANCA DANTAS RODRIGUES</t>
  </si>
  <si>
    <t>ELEN CRISTINA GUIOMAR DE OLIVEIRA</t>
  </si>
  <si>
    <t>MARCIA CRISTINA GARRIDO SOUZA</t>
  </si>
  <si>
    <t>MARJORIE MENDONCA DA SILVA GUIMARAES</t>
  </si>
  <si>
    <t>THAIS FERNANDES PEREIRA DE OLIVEIRA</t>
  </si>
  <si>
    <t>KELLY CRISTINE VIEIRA REIS</t>
  </si>
  <si>
    <t>ANDERSON FELIX FERNANDES</t>
  </si>
  <si>
    <t>VANIA FREITAS DE BRITO</t>
  </si>
  <si>
    <t>EDNA DE SOUZA FERREIRA</t>
  </si>
  <si>
    <t>FERNANDA LORENZO PAMPILLO MORAIS</t>
  </si>
  <si>
    <t>ANDREA BRAGA PINTO VIANNA</t>
  </si>
  <si>
    <t>MARCILENE FERREIRA MATHEUS</t>
  </si>
  <si>
    <t>SUMAIRA LAMAR CALIL</t>
  </si>
  <si>
    <t>MARTA CARVALHO DE OLIVEIRA GOMES</t>
  </si>
  <si>
    <t>PAULA DIOGO DE SOUZA</t>
  </si>
  <si>
    <t>HELENA DE ALBUQUERQUE SILVA</t>
  </si>
  <si>
    <t>ANA CAROLINA DOS SANTOS SEGAL</t>
  </si>
  <si>
    <t>YARA RAMOS ANTUNES DA SILVA</t>
  </si>
  <si>
    <t>PATRICIA DA SILVA PITTA DE MATTOS</t>
  </si>
  <si>
    <t>RACHEL NIGRE DE LIMA</t>
  </si>
  <si>
    <t>CRISTINA SALVADORA FERREIRA</t>
  </si>
  <si>
    <t>FLAVIA NUNES DA SILVA</t>
  </si>
  <si>
    <t>DANIELLE VIEIRA LINS FELIZARDO DE AZEVEDO</t>
  </si>
  <si>
    <t>ESTELA APARECIDA MARTINS</t>
  </si>
  <si>
    <t>EVANDRO MADRUGA DE OLIVEIRA</t>
  </si>
  <si>
    <t>ALESSANDRA DE SOUZA DASSIE</t>
  </si>
  <si>
    <t>MARIA CLAUDIA BALBINO CAMARGO MIRANDA</t>
  </si>
  <si>
    <t>ANDREA SILVA DE OLIVEIRA</t>
  </si>
  <si>
    <t>ALESSANDRA BRAGA BRITO ROCHA</t>
  </si>
  <si>
    <t>GLEICE KETERI QUEIROZ DA SILVA</t>
  </si>
  <si>
    <t>ELAINE COPELO DA SILVA</t>
  </si>
  <si>
    <t>FERNANDA SILVA DE BARRETO</t>
  </si>
  <si>
    <t>VIVIANE MONDAINI RIZZO E SILVA</t>
  </si>
  <si>
    <t>MARIA CREUSA CORREA SANTOS</t>
  </si>
  <si>
    <t>TAINA CINTIA OLIVEIRA DE MEDEIROS</t>
  </si>
  <si>
    <t>SILVANIA MORAES DIAS</t>
  </si>
  <si>
    <t>MIRELLI LAMONICA GARCIA FERREIRA</t>
  </si>
  <si>
    <t>SIMONE ARANHA DA SILVA PIMENTEL</t>
  </si>
  <si>
    <t>FLAVIO MARCIO SILVA ARAGAO</t>
  </si>
  <si>
    <t>ALESSANDRA DA CUNHA AGUIAR FONSECA</t>
  </si>
  <si>
    <t>ADRIANA GERALDO DA SILVA</t>
  </si>
  <si>
    <t>JUREMA NASCIMENTO BRANDAO</t>
  </si>
  <si>
    <t>GISELE DE SOUZA PINTO</t>
  </si>
  <si>
    <t>JULIANA VIEIRA FERRAO</t>
  </si>
  <si>
    <t>MARISA BARROS DE PINHO</t>
  </si>
  <si>
    <t>JULIANNA DE SOUZA NOGUEIRA</t>
  </si>
  <si>
    <t>CRISTINA OLIVEIRA CARNEIRO</t>
  </si>
  <si>
    <t>ROSILENE DE OLIVEIRA</t>
  </si>
  <si>
    <t>LILIAN REGINA MARTINS MELO</t>
  </si>
  <si>
    <t>SEBASTIAO RODRIGUES ANDRADE</t>
  </si>
  <si>
    <t>NUBIA CARVALHO DO NASCIMENTO</t>
  </si>
  <si>
    <t>GISELLE NUNES BAPTISTA AMORIM</t>
  </si>
  <si>
    <t>ALEX SILVA DE SOUZA</t>
  </si>
  <si>
    <t>LORENA FERREIRA RODRIGUES</t>
  </si>
  <si>
    <t>ELIANA RODRIGUES DE OLIVEIRA PEREIRA</t>
  </si>
  <si>
    <t>ADRIANO ROSA DE SOUZA</t>
  </si>
  <si>
    <t>TATIANE SANTOS PEIXOTO</t>
  </si>
  <si>
    <t>ANDREA DA SILVA FONSECA</t>
  </si>
  <si>
    <t>GABRIELLE PEIXOTO TARANTO</t>
  </si>
  <si>
    <t>KATIA PIAES BENCARDINO</t>
  </si>
  <si>
    <t>GLADYS FERRAZ SARAIVA</t>
  </si>
  <si>
    <t>REGINA CELIA FIRMINO DA CONCEICAO</t>
  </si>
  <si>
    <t>ANA MARIA DOS SANTOS IGNACIO</t>
  </si>
  <si>
    <t>MARCIA HELENA MORAIS DE AZEVEDO</t>
  </si>
  <si>
    <t>LILIANA VILA CORREA</t>
  </si>
  <si>
    <t>JOAO PAULO SOBRAL DIAS NETTO</t>
  </si>
  <si>
    <t>ANGELA BARROS FRUITOS MOTTA</t>
  </si>
  <si>
    <t>CRISTIANE CAMPOS DA SILVA</t>
  </si>
  <si>
    <t>SAMANTHA FERRAZ LOBO CAVALCANTI</t>
  </si>
  <si>
    <t>DIONE VASCONCELOS ALVES BRITTO</t>
  </si>
  <si>
    <t>THUANNY CRUZ DA SILVA</t>
  </si>
  <si>
    <t>ADRIANA SOARES PONTES</t>
  </si>
  <si>
    <t>ANDREZZA HUBEANE NÓBREGA DIAS</t>
  </si>
  <si>
    <t>ARIENE VITALINO DA SILVA</t>
  </si>
  <si>
    <t>KATIA GOMES DA SILVA</t>
  </si>
  <si>
    <t>VALESKA BARBOTEU PENHA</t>
  </si>
  <si>
    <t>FERNANDA MEDEIROS RIBEIRO</t>
  </si>
  <si>
    <t>TAINA DOS REIS DO CARMO</t>
  </si>
  <si>
    <t>DANIELE LUCIANA CHAVES DE OLIVEIRA PONTES</t>
  </si>
  <si>
    <t>MONICA ALVES SERAPIAO DA SILVA</t>
  </si>
  <si>
    <t>THIAGO GENEROSO BARROS</t>
  </si>
  <si>
    <t>LUCIANE DE ASSIS ALMEIDA</t>
  </si>
  <si>
    <t>SHAYENNE AZEVEDO DA SILVEIRA MOREIRA</t>
  </si>
  <si>
    <t>ERIKA SILVA DE FREITAS</t>
  </si>
  <si>
    <t>TALITA FLAVIA SODRE DA SILVA</t>
  </si>
  <si>
    <t>CINTHIA VIANA TAVARES DA SILVA</t>
  </si>
  <si>
    <t>MARIA CAROLINA SILVEIRA SYLVESTRE</t>
  </si>
  <si>
    <t>ELENITA FONSECA DA SILVA</t>
  </si>
  <si>
    <t>ALINE FERREIRA RIBEIRO</t>
  </si>
  <si>
    <t>MICHAEL CHRISTIAN AGUIAR MADEIRA</t>
  </si>
  <si>
    <t>LUCIANA OLIVEIRA NASCIMENTO DOS SANTOS</t>
  </si>
  <si>
    <t>VALERIA DOS ANJOS GUEDES</t>
  </si>
  <si>
    <t>REJANE PERES NETO COSTA</t>
  </si>
  <si>
    <t>LUCIANA PIMENTEL VIEIRA</t>
  </si>
  <si>
    <t>ELIANA ALMEIDA DO NASCIMENTO DA COSTA</t>
  </si>
  <si>
    <t>ISAQUE DA SILVA TAVARES</t>
  </si>
  <si>
    <t>CARLOS HENRIQUE MATOS DA SILVA</t>
  </si>
  <si>
    <t>VALERIA CRISTINA CARMO DE AQUINO MASSA</t>
  </si>
  <si>
    <t>VANESSA SANTOS DE MORAES</t>
  </si>
  <si>
    <t>MARIA CRISTINA DOS SANTOS CAMPOS</t>
  </si>
  <si>
    <t>ILMA FATIMA CONSTANTINO VALVERDE</t>
  </si>
  <si>
    <t>ADRIANE FERREIRA REIS MORAES</t>
  </si>
  <si>
    <t>RAFAEL LUIZ PINTO PERES</t>
  </si>
  <si>
    <t>WLADIMIR MENDONCA DA SILVA</t>
  </si>
  <si>
    <t>MARCI DIAS PIRES</t>
  </si>
  <si>
    <t>LUCIANA DA SILVA NASCIMENTO</t>
  </si>
  <si>
    <t>ANDREA BELARMINO DE CARVALHO ABEL PINTO</t>
  </si>
  <si>
    <t>MAYARA SOARES BAZILIO</t>
  </si>
  <si>
    <t>MARIA CRISTINA FALBO MARTINS</t>
  </si>
  <si>
    <t>KELLEN DO NASCIMENTO MORENO</t>
  </si>
  <si>
    <t>ANA LUCIA DE SOUSA SANTOS</t>
  </si>
  <si>
    <t>ROSANGELA CAMPOS DE PAULA FERNANDES</t>
  </si>
  <si>
    <t>ALEXSANDRA BEZERRA DA SILVA</t>
  </si>
  <si>
    <t>MARCELA SILVA DO NASCIMENTO DE CAMPOS</t>
  </si>
  <si>
    <t>ADRIANA DE ANDRADE DE OLIVEIRA</t>
  </si>
  <si>
    <t>SHAYANA BRAGA FELIX</t>
  </si>
  <si>
    <t>ISABELA VIEIRA DA SILVA</t>
  </si>
  <si>
    <t>KELLY HELLEN CHAVES MANSO</t>
  </si>
  <si>
    <t>ODETTE DOS SANTOS SACRAMENTO TERREZO FARDILHA</t>
  </si>
  <si>
    <t>000056267X</t>
  </si>
  <si>
    <t>000054972X</t>
  </si>
  <si>
    <t>000054969X</t>
  </si>
  <si>
    <t>000002466X</t>
  </si>
  <si>
    <t>000056270X</t>
  </si>
  <si>
    <t>000004461X</t>
  </si>
  <si>
    <t>000034205X</t>
  </si>
  <si>
    <t>000054986X</t>
  </si>
  <si>
    <t>000032115X</t>
  </si>
  <si>
    <t>000003696X</t>
  </si>
  <si>
    <t>000056348X</t>
  </si>
  <si>
    <t>000002483X</t>
  </si>
  <si>
    <t>000002287X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</si>
</sst>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164" formatCode="&quot;R$ &quot;#,##0.00;[Red]&quot;R$ &quot;#,##0.00"/>
    <numFmt numFmtId="165" formatCode="&quot;R$&quot;\ #,##0.00"/>
    <numFmt numFmtId="166" formatCode="0;[Red]0"/>
    <numFmt numFmtId="167" formatCode="dd/mm/yy"/>
    <numFmt numFmtId="168" formatCode="00&quot;.&quot;000&quot;.&quot;000&quot;/&quot;0000&quot;-&quot;00"/>
    <numFmt numFmtId="169" formatCode="000&quot;.&quot;000&quot;.&quot;000&quot;-&quot;00"/>
    <numFmt numFmtId="170" formatCode="0000"/>
  </numFmts>
  <fonts count="2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9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Arial"/>
      <family val="2"/>
    </font>
    <font>
      <b/>
      <sz val="10"/>
      <color rgb="FFFFFFFF"/>
      <name val="Arial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name val="Arial"/>
      <family val="2"/>
    </font>
    <font>
      <sz val="14"/>
      <color theme="1"/>
      <name val="Arial"/>
      <family val="2"/>
    </font>
    <font>
      <b/>
      <sz val="9"/>
      <color rgb="FFFFFFFF"/>
      <name val="Arial"/>
    </font>
    <font>
      <sz val="9"/>
      <color theme="1"/>
      <name val="Arial"/>
    </font>
    <font>
      <b/>
      <sz val="14"/>
      <name val="Arial"/>
      <family val="2"/>
    </font>
    <font>
      <sz val="10"/>
      <color rgb="FF000000"/>
      <name val="Arial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97132"/>
        <bgColor rgb="FFE97132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97132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8" fillId="0" borderId="0"/>
    <xf numFmtId="0" fontId="19" fillId="0" borderId="0" applyNumberFormat="0" applyFill="0" applyBorder="0" applyAlignment="0" applyProtection="0"/>
  </cellStyleXfs>
  <cellXfs count="426">
    <xf numFmtId="0" fontId="0" fillId="0" borderId="0" xfId="0"/>
    <xf numFmtId="0" fontId="0" fillId="0" borderId="1" xfId="0" applyBorder="1"/>
    <xf numFmtId="0" fontId="0" fillId="0" borderId="2" xfId="0" applyBorder="1"/>
    <xf numFmtId="0" fontId="3" fillId="2" borderId="3" xfId="0" applyFont="1" applyFill="1" applyBorder="1"/>
    <xf numFmtId="0" fontId="3" fillId="2" borderId="4" xfId="0" applyFont="1" applyFill="1" applyBorder="1"/>
    <xf numFmtId="0" fontId="3" fillId="2" borderId="5" xfId="0" applyFont="1" applyFill="1" applyBorder="1"/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2" xfId="0" applyFont="1" applyBorder="1"/>
    <xf numFmtId="0" fontId="3" fillId="0" borderId="12" xfId="0" applyFont="1" applyBorder="1"/>
    <xf numFmtId="164" fontId="3" fillId="0" borderId="17" xfId="0" applyNumberFormat="1" applyFont="1" applyBorder="1" applyAlignment="1">
      <alignment horizontal="center" vertical="center"/>
    </xf>
    <xf numFmtId="0" fontId="3" fillId="0" borderId="0" xfId="0" applyFont="1"/>
    <xf numFmtId="0" fontId="3" fillId="0" borderId="14" xfId="0" applyFont="1" applyBorder="1"/>
    <xf numFmtId="0" fontId="3" fillId="0" borderId="15" xfId="0" applyFont="1" applyBorder="1"/>
    <xf numFmtId="0" fontId="3" fillId="0" borderId="22" xfId="0" applyFont="1" applyBorder="1"/>
    <xf numFmtId="0" fontId="0" fillId="0" borderId="24" xfId="0" applyBorder="1"/>
    <xf numFmtId="0" fontId="3" fillId="0" borderId="25" xfId="0" applyFont="1" applyBorder="1"/>
    <xf numFmtId="0" fontId="3" fillId="0" borderId="17" xfId="0" applyFont="1" applyBorder="1"/>
    <xf numFmtId="0" fontId="12" fillId="4" borderId="1" xfId="0" applyFont="1" applyFill="1" applyBorder="1"/>
    <xf numFmtId="0" fontId="13" fillId="0" borderId="1" xfId="0" applyFont="1" applyBorder="1"/>
    <xf numFmtId="0" fontId="13" fillId="4" borderId="1" xfId="0" applyFont="1" applyFill="1" applyBorder="1"/>
    <xf numFmtId="0" fontId="13" fillId="0" borderId="15" xfId="0" applyFont="1" applyBorder="1"/>
    <xf numFmtId="44" fontId="13" fillId="0" borderId="1" xfId="0" applyNumberFormat="1" applyFont="1" applyBorder="1"/>
    <xf numFmtId="44" fontId="13" fillId="0" borderId="1" xfId="0" applyNumberFormat="1" applyFont="1" applyBorder="1" applyProtection="1">
      <protection locked="0"/>
    </xf>
    <xf numFmtId="0" fontId="13" fillId="0" borderId="0" xfId="0" applyFont="1"/>
    <xf numFmtId="0" fontId="11" fillId="0" borderId="0" xfId="0" applyFont="1"/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/>
    <xf numFmtId="0" fontId="15" fillId="0" borderId="1" xfId="0" applyFont="1" applyBorder="1"/>
    <xf numFmtId="14" fontId="13" fillId="0" borderId="0" xfId="0" applyNumberFormat="1" applyFont="1"/>
    <xf numFmtId="165" fontId="13" fillId="0" borderId="0" xfId="0" applyNumberFormat="1" applyFont="1"/>
    <xf numFmtId="44" fontId="15" fillId="0" borderId="0" xfId="0" applyNumberFormat="1" applyFont="1" applyAlignment="1">
      <alignment horizontal="center"/>
    </xf>
    <xf numFmtId="4" fontId="15" fillId="0" borderId="0" xfId="0" applyNumberFormat="1" applyFont="1"/>
    <xf numFmtId="0" fontId="15" fillId="0" borderId="0" xfId="0" applyFont="1" applyAlignment="1">
      <alignment horizontal="left"/>
    </xf>
    <xf numFmtId="44" fontId="13" fillId="0" borderId="1" xfId="0" applyNumberFormat="1" applyFont="1" applyBorder="1" applyAlignment="1" applyProtection="1">
      <alignment horizontal="right"/>
      <protection locked="0"/>
    </xf>
    <xf numFmtId="0" fontId="13" fillId="0" borderId="6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7" fillId="6" borderId="0" xfId="0" applyFont="1" applyFill="1" applyAlignment="1">
      <alignment horizontal="center" vertical="center"/>
    </xf>
    <xf numFmtId="168" fontId="17" fillId="6" borderId="0" xfId="0" applyNumberFormat="1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 wrapText="1"/>
    </xf>
    <xf numFmtId="0" fontId="18" fillId="0" borderId="0" xfId="0" applyFont="1"/>
    <xf numFmtId="0" fontId="23" fillId="7" borderId="48" xfId="0" applyFont="1" applyFill="1" applyBorder="1" applyAlignment="1">
      <alignment horizontal="center" vertical="center"/>
    </xf>
    <xf numFmtId="0" fontId="24" fillId="0" borderId="0" xfId="0" applyFont="1"/>
    <xf numFmtId="165" fontId="17" fillId="6" borderId="0" xfId="0" applyNumberFormat="1" applyFont="1" applyFill="1" applyAlignment="1">
      <alignment horizontal="center" vertical="center"/>
    </xf>
    <xf numFmtId="165" fontId="18" fillId="0" borderId="0" xfId="0" applyNumberFormat="1" applyFont="1"/>
    <xf numFmtId="1" fontId="17" fillId="6" borderId="0" xfId="0" applyNumberFormat="1" applyFont="1" applyFill="1" applyAlignment="1">
      <alignment horizontal="center" vertical="center"/>
    </xf>
    <xf numFmtId="1" fontId="18" fillId="0" borderId="0" xfId="0" applyNumberFormat="1" applyFont="1"/>
    <xf numFmtId="169" fontId="17" fillId="6" borderId="0" xfId="0" applyNumberFormat="1" applyFont="1" applyFill="1" applyAlignment="1">
      <alignment horizontal="right" vertical="center"/>
    </xf>
    <xf numFmtId="169" fontId="18" fillId="0" borderId="0" xfId="0" applyNumberFormat="1" applyFont="1" applyAlignment="1">
      <alignment horizontal="right"/>
    </xf>
    <xf numFmtId="0" fontId="0" fillId="0" borderId="0" xfId="0" applyAlignment="1">
      <alignment vertical="top" wrapText="1"/>
    </xf>
    <xf numFmtId="0" fontId="0" fillId="0" borderId="63" xfId="0" applyBorder="1" applyAlignment="1">
      <alignment vertical="top" wrapText="1"/>
    </xf>
    <xf numFmtId="0" fontId="13" fillId="0" borderId="66" xfId="0" applyFont="1" applyBorder="1"/>
    <xf numFmtId="165" fontId="13" fillId="0" borderId="1" xfId="0" applyNumberFormat="1" applyFont="1" applyBorder="1" applyProtection="1">
      <protection locked="0"/>
    </xf>
    <xf numFmtId="165" fontId="15" fillId="0" borderId="1" xfId="0" applyNumberFormat="1" applyFont="1" applyBorder="1" applyProtection="1">
      <protection locked="0"/>
    </xf>
    <xf numFmtId="165" fontId="0" fillId="0" borderId="0" xfId="0" applyNumberForma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0" fontId="0" fillId="0" borderId="0" xfId="0" applyNumberFormat="1"/>
    <xf numFmtId="0" fontId="3" fillId="8" borderId="1" xfId="0" applyFont="1" applyFill="1" applyBorder="1" applyAlignment="1">
      <alignment vertical="top"/>
    </xf>
    <xf numFmtId="0" fontId="0" fillId="8" borderId="0" xfId="0" applyFill="1"/>
    <xf numFmtId="0" fontId="3" fillId="8" borderId="3" xfId="0" applyFont="1" applyFill="1" applyBorder="1"/>
    <xf numFmtId="0" fontId="3" fillId="8" borderId="4" xfId="0" applyFont="1" applyFill="1" applyBorder="1"/>
    <xf numFmtId="0" fontId="3" fillId="8" borderId="5" xfId="0" applyFont="1" applyFill="1" applyBorder="1"/>
    <xf numFmtId="0" fontId="3" fillId="8" borderId="14" xfId="0" applyFont="1" applyFill="1" applyBorder="1" applyAlignment="1">
      <alignment vertical="top"/>
    </xf>
    <xf numFmtId="0" fontId="3" fillId="8" borderId="15" xfId="0" applyFont="1" applyFill="1" applyBorder="1" applyAlignment="1">
      <alignment vertical="top"/>
    </xf>
    <xf numFmtId="0" fontId="3" fillId="8" borderId="7" xfId="0" applyFont="1" applyFill="1" applyBorder="1" applyAlignment="1">
      <alignment vertical="top"/>
    </xf>
    <xf numFmtId="164" fontId="3" fillId="8" borderId="7" xfId="0" applyNumberFormat="1" applyFont="1" applyFill="1" applyBorder="1" applyAlignment="1">
      <alignment horizontal="center" vertical="center"/>
    </xf>
    <xf numFmtId="164" fontId="3" fillId="8" borderId="15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64" fontId="3" fillId="8" borderId="16" xfId="0" applyNumberFormat="1" applyFont="1" applyFill="1" applyBorder="1" applyAlignment="1">
      <alignment horizontal="center" vertical="center"/>
    </xf>
    <xf numFmtId="165" fontId="21" fillId="8" borderId="7" xfId="0" applyNumberFormat="1" applyFont="1" applyFill="1" applyBorder="1" applyAlignment="1">
      <alignment horizontal="right" vertical="center"/>
    </xf>
    <xf numFmtId="165" fontId="21" fillId="8" borderId="18" xfId="0" applyNumberFormat="1" applyFont="1" applyFill="1" applyBorder="1" applyAlignment="1">
      <alignment horizontal="right" vertical="center"/>
    </xf>
    <xf numFmtId="165" fontId="21" fillId="8" borderId="1" xfId="0" applyNumberFormat="1" applyFont="1" applyFill="1" applyBorder="1" applyAlignment="1">
      <alignment horizontal="right" vertical="center"/>
    </xf>
    <xf numFmtId="165" fontId="21" fillId="8" borderId="19" xfId="0" applyNumberFormat="1" applyFont="1" applyFill="1" applyBorder="1" applyAlignment="1">
      <alignment horizontal="right" vertical="center"/>
    </xf>
    <xf numFmtId="0" fontId="1" fillId="8" borderId="1" xfId="0" applyFont="1" applyFill="1" applyBorder="1"/>
    <xf numFmtId="164" fontId="3" fillId="8" borderId="7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center"/>
    </xf>
    <xf numFmtId="165" fontId="21" fillId="8" borderId="21" xfId="0" applyNumberFormat="1" applyFont="1" applyFill="1" applyBorder="1" applyAlignment="1">
      <alignment horizontal="right"/>
    </xf>
    <xf numFmtId="165" fontId="21" fillId="8" borderId="20" xfId="0" applyNumberFormat="1" applyFont="1" applyFill="1" applyBorder="1" applyAlignment="1">
      <alignment horizontal="right"/>
    </xf>
    <xf numFmtId="165" fontId="22" fillId="8" borderId="20" xfId="0" applyNumberFormat="1" applyFont="1" applyFill="1" applyBorder="1" applyAlignment="1">
      <alignment horizontal="right"/>
    </xf>
    <xf numFmtId="0" fontId="3" fillId="8" borderId="0" xfId="0" applyFont="1" applyFill="1"/>
    <xf numFmtId="165" fontId="3" fillId="8" borderId="19" xfId="0" applyNumberFormat="1" applyFont="1" applyFill="1" applyBorder="1"/>
    <xf numFmtId="165" fontId="3" fillId="8" borderId="23" xfId="0" applyNumberFormat="1" applyFont="1" applyFill="1" applyBorder="1"/>
    <xf numFmtId="0" fontId="3" fillId="8" borderId="22" xfId="0" applyFont="1" applyFill="1" applyBorder="1"/>
    <xf numFmtId="0" fontId="16" fillId="8" borderId="56" xfId="0" applyFont="1" applyFill="1" applyBorder="1" applyAlignment="1">
      <alignment horizontal="right" vertical="top"/>
    </xf>
    <xf numFmtId="0" fontId="0" fillId="8" borderId="52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8" borderId="9" xfId="0" applyFill="1" applyBorder="1" applyAlignment="1">
      <alignment horizontal="center" vertical="top" wrapText="1"/>
    </xf>
    <xf numFmtId="14" fontId="0" fillId="8" borderId="28" xfId="0" applyNumberFormat="1" applyFill="1" applyBorder="1" applyAlignment="1">
      <alignment vertical="top" wrapText="1"/>
    </xf>
    <xf numFmtId="165" fontId="13" fillId="8" borderId="53" xfId="0" applyNumberFormat="1" applyFont="1" applyFill="1" applyBorder="1"/>
    <xf numFmtId="0" fontId="27" fillId="9" borderId="71" xfId="0" applyFont="1" applyFill="1" applyBorder="1" applyAlignment="1">
      <alignment horizontal="left"/>
    </xf>
    <xf numFmtId="0" fontId="27" fillId="9" borderId="71" xfId="0" applyFont="1" applyFill="1" applyBorder="1"/>
    <xf numFmtId="0" fontId="27" fillId="0" borderId="71" xfId="0" applyFont="1" applyBorder="1" applyAlignment="1">
      <alignment horizontal="left"/>
    </xf>
    <xf numFmtId="0" fontId="27" fillId="0" borderId="71" xfId="0" applyFont="1" applyBorder="1"/>
    <xf numFmtId="1" fontId="27" fillId="9" borderId="71" xfId="0" applyNumberFormat="1" applyFont="1" applyFill="1" applyBorder="1"/>
    <xf numFmtId="1" fontId="27" fillId="0" borderId="71" xfId="0" applyNumberFormat="1" applyFont="1" applyBorder="1"/>
    <xf numFmtId="1" fontId="27" fillId="9" borderId="72" xfId="0" applyNumberFormat="1" applyFont="1" applyFill="1" applyBorder="1"/>
    <xf numFmtId="1" fontId="27" fillId="0" borderId="72" xfId="0" applyNumberFormat="1" applyFont="1" applyBorder="1"/>
    <xf numFmtId="0" fontId="0" fillId="0" borderId="70" xfId="0" applyBorder="1"/>
    <xf numFmtId="165" fontId="26" fillId="0" borderId="0" xfId="0" applyNumberFormat="1" applyFont="1"/>
    <xf numFmtId="0" fontId="3" fillId="8" borderId="1" xfId="0" applyFont="1" applyFill="1" applyBorder="1" applyAlignment="1">
      <alignment horizontal="left" vertical="top"/>
    </xf>
    <xf numFmtId="0" fontId="9" fillId="8" borderId="8" xfId="0" applyFont="1" applyFill="1" applyBorder="1" applyAlignment="1">
      <alignment horizontal="right"/>
    </xf>
    <xf numFmtId="0" fontId="15" fillId="8" borderId="10" xfId="0" applyFont="1" applyFill="1" applyBorder="1"/>
    <xf numFmtId="0" fontId="10" fillId="8" borderId="0" xfId="0" applyFont="1" applyFill="1"/>
    <xf numFmtId="0" fontId="10" fillId="8" borderId="27" xfId="0" applyFont="1" applyFill="1" applyBorder="1" applyAlignment="1">
      <alignment horizontal="center"/>
    </xf>
    <xf numFmtId="0" fontId="9" fillId="8" borderId="0" xfId="0" applyFont="1" applyFill="1"/>
    <xf numFmtId="0" fontId="15" fillId="8" borderId="26" xfId="0" applyFont="1" applyFill="1" applyBorder="1"/>
    <xf numFmtId="170" fontId="15" fillId="8" borderId="22" xfId="0" applyNumberFormat="1" applyFont="1" applyFill="1" applyBorder="1" applyAlignment="1">
      <alignment horizontal="left"/>
    </xf>
    <xf numFmtId="0" fontId="15" fillId="8" borderId="22" xfId="0" applyFont="1" applyFill="1" applyBorder="1" applyAlignment="1">
      <alignment horizontal="left"/>
    </xf>
    <xf numFmtId="0" fontId="13" fillId="8" borderId="18" xfId="0" applyFont="1" applyFill="1" applyBorder="1" applyAlignment="1">
      <alignment horizontal="center"/>
    </xf>
    <xf numFmtId="44" fontId="13" fillId="8" borderId="1" xfId="0" applyNumberFormat="1" applyFont="1" applyFill="1" applyBorder="1" applyAlignment="1">
      <alignment horizontal="right"/>
    </xf>
    <xf numFmtId="44" fontId="15" fillId="8" borderId="1" xfId="0" applyNumberFormat="1" applyFont="1" applyFill="1" applyBorder="1" applyAlignment="1">
      <alignment horizontal="right"/>
    </xf>
    <xf numFmtId="44" fontId="13" fillId="8" borderId="1" xfId="0" applyNumberFormat="1" applyFont="1" applyFill="1" applyBorder="1"/>
    <xf numFmtId="44" fontId="0" fillId="8" borderId="1" xfId="0" applyNumberFormat="1" applyFill="1" applyBorder="1"/>
    <xf numFmtId="165" fontId="13" fillId="8" borderId="9" xfId="0" applyNumberFormat="1" applyFont="1" applyFill="1" applyBorder="1"/>
    <xf numFmtId="0" fontId="0" fillId="1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5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1" fillId="8" borderId="52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/>
    </xf>
    <xf numFmtId="0" fontId="1" fillId="8" borderId="53" xfId="0" applyFont="1" applyFill="1" applyBorder="1" applyAlignment="1">
      <alignment horizontal="left"/>
    </xf>
    <xf numFmtId="0" fontId="1" fillId="8" borderId="54" xfId="0" applyFont="1" applyFill="1" applyBorder="1" applyAlignment="1">
      <alignment horizontal="left" vertical="top"/>
    </xf>
    <xf numFmtId="0" fontId="1" fillId="8" borderId="29" xfId="0" applyFont="1" applyFill="1" applyBorder="1" applyAlignment="1">
      <alignment horizontal="left" vertical="top"/>
    </xf>
    <xf numFmtId="0" fontId="6" fillId="8" borderId="56" xfId="0" applyFont="1" applyFill="1" applyBorder="1" applyAlignment="1">
      <alignment horizontal="center" vertical="top"/>
    </xf>
    <xf numFmtId="0" fontId="6" fillId="8" borderId="22" xfId="0" applyFont="1" applyFill="1" applyBorder="1" applyAlignment="1">
      <alignment horizontal="center" vertical="top"/>
    </xf>
    <xf numFmtId="0" fontId="1" fillId="8" borderId="58" xfId="0" applyFont="1" applyFill="1" applyBorder="1" applyAlignment="1">
      <alignment horizontal="left" vertical="top"/>
    </xf>
    <xf numFmtId="0" fontId="1" fillId="8" borderId="9" xfId="0" applyFont="1" applyFill="1" applyBorder="1" applyAlignment="1">
      <alignment horizontal="left" vertical="top"/>
    </xf>
    <xf numFmtId="0" fontId="1" fillId="8" borderId="59" xfId="0" applyFont="1" applyFill="1" applyBorder="1" applyAlignment="1">
      <alignment horizontal="left" vertical="top"/>
    </xf>
    <xf numFmtId="0" fontId="2" fillId="8" borderId="61" xfId="0" applyFont="1" applyFill="1" applyBorder="1" applyAlignment="1">
      <alignment horizontal="left" vertical="top"/>
    </xf>
    <xf numFmtId="0" fontId="2" fillId="8" borderId="28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 wrapText="1"/>
    </xf>
    <xf numFmtId="0" fontId="1" fillId="8" borderId="53" xfId="0" applyFont="1" applyFill="1" applyBorder="1" applyAlignment="1">
      <alignment horizontal="left" vertical="top" wrapText="1"/>
    </xf>
    <xf numFmtId="0" fontId="1" fillId="8" borderId="8" xfId="0" applyFont="1" applyFill="1" applyBorder="1" applyAlignment="1">
      <alignment horizontal="left" vertical="top"/>
    </xf>
    <xf numFmtId="0" fontId="1" fillId="8" borderId="55" xfId="0" applyFont="1" applyFill="1" applyBorder="1" applyAlignment="1">
      <alignment horizontal="left" vertical="top"/>
    </xf>
    <xf numFmtId="0" fontId="6" fillId="8" borderId="26" xfId="0" applyFont="1" applyFill="1" applyBorder="1" applyAlignment="1">
      <alignment horizontal="center" vertical="top"/>
    </xf>
    <xf numFmtId="0" fontId="6" fillId="8" borderId="57" xfId="0" applyFont="1" applyFill="1" applyBorder="1" applyAlignment="1">
      <alignment horizontal="center" vertical="top"/>
    </xf>
    <xf numFmtId="168" fontId="6" fillId="8" borderId="28" xfId="0" applyNumberFormat="1" applyFont="1" applyFill="1" applyBorder="1" applyAlignment="1">
      <alignment horizontal="left" vertical="top"/>
    </xf>
    <xf numFmtId="168" fontId="6" fillId="8" borderId="60" xfId="0" applyNumberFormat="1" applyFont="1" applyFill="1" applyBorder="1" applyAlignment="1">
      <alignment horizontal="left" vertical="top"/>
    </xf>
    <xf numFmtId="0" fontId="0" fillId="4" borderId="52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53" xfId="0" applyFill="1" applyBorder="1" applyAlignment="1">
      <alignment horizontal="left" vertical="top" wrapText="1"/>
    </xf>
    <xf numFmtId="0" fontId="14" fillId="8" borderId="10" xfId="0" applyFont="1" applyFill="1" applyBorder="1" applyAlignment="1">
      <alignment horizontal="left" vertical="top" wrapText="1"/>
    </xf>
    <xf numFmtId="0" fontId="14" fillId="8" borderId="0" xfId="0" applyFont="1" applyFill="1" applyAlignment="1">
      <alignment horizontal="left" vertical="top" wrapText="1"/>
    </xf>
    <xf numFmtId="0" fontId="14" fillId="8" borderId="27" xfId="0" applyFont="1" applyFill="1" applyBorder="1" applyAlignment="1">
      <alignment horizontal="left" vertical="top" wrapText="1"/>
    </xf>
    <xf numFmtId="0" fontId="14" fillId="8" borderId="26" xfId="0" applyFont="1" applyFill="1" applyBorder="1" applyAlignment="1">
      <alignment horizontal="left" vertical="top" wrapText="1"/>
    </xf>
    <xf numFmtId="0" fontId="14" fillId="8" borderId="22" xfId="0" applyFont="1" applyFill="1" applyBorder="1" applyAlignment="1">
      <alignment horizontal="left" vertical="top" wrapText="1"/>
    </xf>
    <xf numFmtId="0" fontId="14" fillId="8" borderId="18" xfId="0" applyFont="1" applyFill="1" applyBorder="1" applyAlignment="1">
      <alignment horizontal="left" vertical="top" wrapText="1"/>
    </xf>
    <xf numFmtId="0" fontId="13" fillId="0" borderId="67" xfId="0" applyFont="1" applyBorder="1" applyAlignment="1">
      <alignment horizontal="center"/>
    </xf>
    <xf numFmtId="0" fontId="13" fillId="0" borderId="68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28" xfId="0" applyBorder="1" applyAlignment="1">
      <alignment horizontal="center"/>
    </xf>
    <xf numFmtId="0" fontId="13" fillId="0" borderId="64" xfId="0" applyFont="1" applyBorder="1" applyAlignment="1">
      <alignment horizontal="left"/>
    </xf>
    <xf numFmtId="0" fontId="13" fillId="0" borderId="1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0" fontId="13" fillId="8" borderId="29" xfId="0" applyFont="1" applyFill="1" applyBorder="1" applyAlignment="1">
      <alignment horizontal="center"/>
    </xf>
    <xf numFmtId="0" fontId="13" fillId="0" borderId="29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13" fillId="0" borderId="69" xfId="0" applyFont="1" applyBorder="1" applyAlignment="1">
      <alignment horizontal="center"/>
    </xf>
    <xf numFmtId="165" fontId="0" fillId="8" borderId="59" xfId="0" applyNumberFormat="1" applyFill="1" applyBorder="1" applyAlignment="1">
      <alignment horizontal="center"/>
    </xf>
    <xf numFmtId="165" fontId="0" fillId="8" borderId="65" xfId="0" applyNumberFormat="1" applyFill="1" applyBorder="1" applyAlignment="1">
      <alignment horizontal="center"/>
    </xf>
    <xf numFmtId="165" fontId="0" fillId="8" borderId="60" xfId="0" applyNumberFormat="1" applyFill="1" applyBorder="1" applyAlignment="1">
      <alignment horizontal="center"/>
    </xf>
    <xf numFmtId="0" fontId="0" fillId="0" borderId="62" xfId="0" applyBorder="1" applyAlignment="1">
      <alignment horizontal="center" vertical="top" wrapText="1"/>
    </xf>
    <xf numFmtId="0" fontId="13" fillId="8" borderId="0" xfId="0" applyFont="1" applyFill="1" applyAlignment="1">
      <alignment horizontal="left" wrapText="1"/>
    </xf>
    <xf numFmtId="0" fontId="9" fillId="8" borderId="49" xfId="0" applyFont="1" applyFill="1" applyBorder="1" applyAlignment="1">
      <alignment horizontal="center" wrapText="1"/>
    </xf>
    <xf numFmtId="0" fontId="9" fillId="8" borderId="50" xfId="0" applyFont="1" applyFill="1" applyBorder="1" applyAlignment="1">
      <alignment horizontal="center" wrapText="1"/>
    </xf>
    <xf numFmtId="0" fontId="9" fillId="8" borderId="51" xfId="0" applyFont="1" applyFill="1" applyBorder="1" applyAlignment="1">
      <alignment horizontal="center" wrapText="1"/>
    </xf>
    <xf numFmtId="0" fontId="13" fillId="0" borderId="7" xfId="0" applyFont="1" applyBorder="1" applyAlignment="1">
      <alignment horizontal="left"/>
    </xf>
    <xf numFmtId="0" fontId="13" fillId="0" borderId="64" xfId="0" applyFont="1" applyBorder="1" applyAlignment="1">
      <alignment horizontal="center"/>
    </xf>
    <xf numFmtId="0" fontId="13" fillId="0" borderId="15" xfId="0" applyFont="1" applyBorder="1" applyAlignment="1">
      <alignment horizontal="center"/>
    </xf>
    <xf numFmtId="0" fontId="13" fillId="8" borderId="54" xfId="0" applyFont="1" applyFill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8" borderId="54" xfId="0" applyFont="1" applyFill="1" applyBorder="1" applyAlignment="1">
      <alignment horizontal="center" vertical="top"/>
    </xf>
    <xf numFmtId="0" fontId="3" fillId="8" borderId="29" xfId="0" applyFont="1" applyFill="1" applyBorder="1" applyAlignment="1">
      <alignment horizontal="center" vertical="top"/>
    </xf>
    <xf numFmtId="0" fontId="3" fillId="8" borderId="55" xfId="0" applyFont="1" applyFill="1" applyBorder="1" applyAlignment="1">
      <alignment horizontal="center" vertical="top"/>
    </xf>
    <xf numFmtId="0" fontId="0" fillId="8" borderId="52" xfId="0" applyFill="1" applyBorder="1" applyAlignment="1">
      <alignment horizontal="left" vertical="top" wrapText="1"/>
    </xf>
    <xf numFmtId="0" fontId="0" fillId="8" borderId="1" xfId="0" applyFill="1" applyBorder="1" applyAlignment="1">
      <alignment horizontal="left" vertical="top" wrapText="1"/>
    </xf>
    <xf numFmtId="0" fontId="0" fillId="8" borderId="53" xfId="0" applyFill="1" applyBorder="1" applyAlignment="1">
      <alignment horizontal="left" vertical="top" wrapText="1"/>
    </xf>
    <xf numFmtId="0" fontId="0" fillId="8" borderId="1" xfId="0" applyFill="1" applyBorder="1" applyAlignment="1">
      <alignment horizontal="center" vertical="top" wrapText="1"/>
    </xf>
    <xf numFmtId="0" fontId="0" fillId="8" borderId="53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 vertical="top" wrapText="1"/>
    </xf>
    <xf numFmtId="0" fontId="0" fillId="8" borderId="59" xfId="0" applyFill="1" applyBorder="1" applyAlignment="1">
      <alignment horizontal="center" vertical="top" wrapText="1"/>
    </xf>
    <xf numFmtId="0" fontId="16" fillId="8" borderId="22" xfId="0" applyFont="1" applyFill="1" applyBorder="1" applyAlignment="1">
      <alignment horizontal="left" vertical="top"/>
    </xf>
    <xf numFmtId="0" fontId="16" fillId="8" borderId="18" xfId="0" applyFont="1" applyFill="1" applyBorder="1" applyAlignment="1">
      <alignment horizontal="left" vertical="top"/>
    </xf>
    <xf numFmtId="165" fontId="11" fillId="8" borderId="28" xfId="0" applyNumberFormat="1" applyFont="1" applyFill="1" applyBorder="1" applyAlignment="1">
      <alignment horizontal="center" vertical="top" wrapText="1"/>
    </xf>
    <xf numFmtId="165" fontId="11" fillId="8" borderId="60" xfId="0" applyNumberFormat="1" applyFont="1" applyFill="1" applyBorder="1" applyAlignment="1">
      <alignment horizontal="center" vertical="top" wrapText="1"/>
    </xf>
    <xf numFmtId="0" fontId="0" fillId="8" borderId="52" xfId="0" applyFill="1" applyBorder="1" applyAlignment="1">
      <alignment horizontal="center" vertical="top" wrapText="1"/>
    </xf>
    <xf numFmtId="170" fontId="14" fillId="8" borderId="1" xfId="0" applyNumberFormat="1" applyFont="1" applyFill="1" applyBorder="1" applyAlignment="1">
      <alignment horizontal="center" vertical="top" wrapText="1"/>
    </xf>
    <xf numFmtId="0" fontId="0" fillId="8" borderId="6" xfId="0" applyFill="1" applyBorder="1" applyAlignment="1">
      <alignment horizontal="left" vertical="top" wrapText="1"/>
    </xf>
    <xf numFmtId="0" fontId="0" fillId="8" borderId="15" xfId="0" applyFill="1" applyBorder="1" applyAlignment="1">
      <alignment horizontal="left" vertical="top" wrapText="1"/>
    </xf>
    <xf numFmtId="0" fontId="0" fillId="8" borderId="7" xfId="0" applyFill="1" applyBorder="1" applyAlignment="1">
      <alignment horizontal="left" vertical="top" wrapText="1"/>
    </xf>
    <xf numFmtId="0" fontId="0" fillId="0" borderId="53" xfId="0" applyBorder="1" applyAlignment="1">
      <alignment horizontal="center" wrapText="1"/>
    </xf>
    <xf numFmtId="165" fontId="13" fillId="8" borderId="46" xfId="0" applyNumberFormat="1" applyFont="1" applyFill="1" applyBorder="1" applyAlignment="1">
      <alignment horizontal="center"/>
    </xf>
    <xf numFmtId="165" fontId="13" fillId="8" borderId="47" xfId="0" applyNumberFormat="1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168" fontId="0" fillId="8" borderId="0" xfId="0" applyNumberFormat="1" applyFill="1" applyAlignment="1">
      <alignment horizontal="left"/>
    </xf>
    <xf numFmtId="168" fontId="9" fillId="8" borderId="0" xfId="0" applyNumberFormat="1" applyFont="1" applyFill="1" applyAlignment="1">
      <alignment horizontal="left"/>
    </xf>
    <xf numFmtId="0" fontId="15" fillId="8" borderId="22" xfId="0" applyFont="1" applyFill="1" applyBorder="1" applyAlignment="1">
      <alignment horizontal="right"/>
    </xf>
    <xf numFmtId="0" fontId="15" fillId="0" borderId="22" xfId="0" applyFont="1" applyBorder="1" applyAlignment="1">
      <alignment horizontal="left"/>
    </xf>
    <xf numFmtId="0" fontId="9" fillId="8" borderId="29" xfId="0" applyFont="1" applyFill="1" applyBorder="1" applyAlignment="1">
      <alignment horizontal="left"/>
    </xf>
    <xf numFmtId="0" fontId="9" fillId="8" borderId="13" xfId="0" applyFont="1" applyFill="1" applyBorder="1" applyAlignment="1">
      <alignment horizontal="left"/>
    </xf>
    <xf numFmtId="0" fontId="0" fillId="8" borderId="0" xfId="0" applyFill="1" applyAlignment="1">
      <alignment horizontal="left"/>
    </xf>
    <xf numFmtId="0" fontId="13" fillId="8" borderId="0" xfId="0" applyFont="1" applyFill="1" applyAlignment="1">
      <alignment horizontal="left"/>
    </xf>
    <xf numFmtId="0" fontId="13" fillId="8" borderId="27" xfId="0" applyFont="1" applyFill="1" applyBorder="1" applyAlignment="1">
      <alignment horizontal="left"/>
    </xf>
    <xf numFmtId="0" fontId="15" fillId="0" borderId="0" xfId="0" applyFont="1" applyAlignment="1">
      <alignment horizontal="left"/>
    </xf>
    <xf numFmtId="0" fontId="15" fillId="5" borderId="1" xfId="0" applyFont="1" applyFill="1" applyBorder="1" applyAlignment="1">
      <alignment horizontal="center"/>
    </xf>
    <xf numFmtId="0" fontId="13" fillId="4" borderId="28" xfId="0" applyFont="1" applyFill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3" fillId="0" borderId="6" xfId="0" applyFont="1" applyBorder="1" applyAlignment="1">
      <alignment horizontal="left"/>
    </xf>
    <xf numFmtId="0" fontId="15" fillId="5" borderId="0" xfId="0" applyFont="1" applyFill="1" applyAlignment="1">
      <alignment horizontal="left"/>
    </xf>
    <xf numFmtId="0" fontId="13" fillId="8" borderId="0" xfId="0" applyFont="1" applyFill="1" applyAlignment="1">
      <alignment horizontal="center"/>
    </xf>
    <xf numFmtId="0" fontId="0" fillId="8" borderId="0" xfId="0" applyFill="1" applyAlignment="1" applyProtection="1">
      <alignment horizontal="center"/>
      <protection locked="0"/>
    </xf>
    <xf numFmtId="0" fontId="13" fillId="8" borderId="0" xfId="0" applyFont="1" applyFill="1" applyAlignment="1" applyProtection="1">
      <alignment horizontal="center"/>
      <protection locked="0"/>
    </xf>
    <xf numFmtId="0" fontId="13" fillId="0" borderId="0" xfId="0" applyFont="1" applyAlignment="1">
      <alignment horizont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166" fontId="3" fillId="0" borderId="1" xfId="0" applyNumberFormat="1" applyFont="1" applyBorder="1" applyAlignment="1" applyProtection="1">
      <alignment horizontal="center" vertical="center" wrapText="1"/>
      <protection locked="0"/>
    </xf>
    <xf numFmtId="14" fontId="3" fillId="0" borderId="1" xfId="0" applyNumberFormat="1" applyFont="1" applyBorder="1" applyAlignment="1" applyProtection="1">
      <alignment horizontal="center" vertical="center" wrapText="1"/>
      <protection locked="0"/>
    </xf>
    <xf numFmtId="165" fontId="3" fillId="0" borderId="16" xfId="0" applyNumberFormat="1" applyFont="1" applyBorder="1" applyAlignment="1" applyProtection="1">
      <alignment vertical="center"/>
      <protection locked="0"/>
    </xf>
    <xf numFmtId="165" fontId="3" fillId="0" borderId="16" xfId="0" applyNumberFormat="1" applyFont="1" applyBorder="1" applyAlignment="1" applyProtection="1">
      <alignment vertical="center" wrapText="1"/>
      <protection locked="0"/>
    </xf>
    <xf numFmtId="0" fontId="6" fillId="0" borderId="1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8" borderId="22" xfId="0" applyFont="1" applyFill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49" fontId="3" fillId="0" borderId="44" xfId="0" applyNumberFormat="1" applyFont="1" applyBorder="1" applyAlignment="1">
      <alignment horizontal="center" vertical="center"/>
    </xf>
    <xf numFmtId="0" fontId="3" fillId="0" borderId="1" xfId="0" applyFont="1" applyBorder="1" applyAlignment="1" applyProtection="1">
      <alignment horizontal="center" vertical="top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left" vertical="top" wrapText="1"/>
      <protection locked="0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 wrapText="1"/>
    </xf>
    <xf numFmtId="0" fontId="14" fillId="0" borderId="1" xfId="0" applyFont="1" applyBorder="1" applyAlignment="1" applyProtection="1">
      <alignment horizontal="left" vertical="top" wrapText="1"/>
      <protection locked="0"/>
    </xf>
    <xf numFmtId="0" fontId="5" fillId="0" borderId="1" xfId="0" applyFont="1" applyBorder="1" applyAlignment="1" applyProtection="1">
      <alignment horizontal="left" vertical="top" wrapText="1"/>
      <protection locked="0"/>
    </xf>
    <xf numFmtId="0" fontId="7" fillId="3" borderId="39" xfId="0" applyFont="1" applyFill="1" applyBorder="1" applyAlignment="1">
      <alignment horizontal="center" vertical="center"/>
    </xf>
    <xf numFmtId="0" fontId="7" fillId="3" borderId="40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166" fontId="0" fillId="3" borderId="9" xfId="0" applyNumberFormat="1" applyFill="1" applyBorder="1" applyAlignment="1">
      <alignment horizontal="center"/>
    </xf>
    <xf numFmtId="166" fontId="0" fillId="3" borderId="28" xfId="0" applyNumberFormat="1" applyFill="1" applyBorder="1" applyAlignment="1">
      <alignment horizontal="center"/>
    </xf>
    <xf numFmtId="167" fontId="0" fillId="3" borderId="9" xfId="0" applyNumberFormat="1" applyFill="1" applyBorder="1" applyAlignment="1">
      <alignment horizontal="center"/>
    </xf>
    <xf numFmtId="167" fontId="0" fillId="3" borderId="28" xfId="0" applyNumberFormat="1" applyFill="1" applyBorder="1" applyAlignment="1">
      <alignment horizontal="center"/>
    </xf>
    <xf numFmtId="0" fontId="6" fillId="0" borderId="8" xfId="0" applyFont="1" applyBorder="1" applyAlignment="1">
      <alignment horizontal="right" vertical="center"/>
    </xf>
    <xf numFmtId="0" fontId="6" fillId="0" borderId="13" xfId="0" applyFont="1" applyBorder="1" applyAlignment="1">
      <alignment horizontal="right" vertical="center"/>
    </xf>
    <xf numFmtId="0" fontId="6" fillId="0" borderId="26" xfId="0" applyFont="1" applyBorder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165" fontId="21" fillId="8" borderId="6" xfId="0" applyNumberFormat="1" applyFont="1" applyFill="1" applyBorder="1" applyAlignment="1">
      <alignment horizontal="right" vertical="center"/>
    </xf>
    <xf numFmtId="165" fontId="21" fillId="8" borderId="15" xfId="0" applyNumberFormat="1" applyFont="1" applyFill="1" applyBorder="1" applyAlignment="1">
      <alignment horizontal="right" vertical="center"/>
    </xf>
    <xf numFmtId="165" fontId="21" fillId="8" borderId="7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top" wrapText="1"/>
    </xf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0" fillId="0" borderId="4" xfId="0" applyBorder="1"/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8" borderId="25" xfId="0" applyFont="1" applyFill="1" applyBorder="1" applyAlignment="1">
      <alignment horizontal="left" vertical="top"/>
    </xf>
    <xf numFmtId="0" fontId="3" fillId="8" borderId="29" xfId="0" applyFont="1" applyFill="1" applyBorder="1" applyAlignment="1">
      <alignment horizontal="left" vertical="top"/>
    </xf>
    <xf numFmtId="0" fontId="3" fillId="8" borderId="13" xfId="0" applyFont="1" applyFill="1" applyBorder="1" applyAlignment="1">
      <alignment horizontal="left" vertical="top"/>
    </xf>
    <xf numFmtId="0" fontId="3" fillId="8" borderId="6" xfId="0" applyFont="1" applyFill="1" applyBorder="1" applyAlignment="1">
      <alignment horizontal="left" vertical="top"/>
    </xf>
    <xf numFmtId="0" fontId="3" fillId="8" borderId="15" xfId="0" applyFont="1" applyFill="1" applyBorder="1" applyAlignment="1">
      <alignment horizontal="left" vertical="top"/>
    </xf>
    <xf numFmtId="0" fontId="3" fillId="8" borderId="7" xfId="0" applyFont="1" applyFill="1" applyBorder="1" applyAlignment="1">
      <alignment horizontal="left" vertical="top"/>
    </xf>
    <xf numFmtId="168" fontId="6" fillId="8" borderId="6" xfId="0" applyNumberFormat="1" applyFont="1" applyFill="1" applyBorder="1" applyAlignment="1">
      <alignment horizontal="center" vertical="top"/>
    </xf>
    <xf numFmtId="168" fontId="6" fillId="8" borderId="15" xfId="0" applyNumberFormat="1" applyFont="1" applyFill="1" applyBorder="1" applyAlignment="1">
      <alignment horizontal="center" vertical="top"/>
    </xf>
    <xf numFmtId="168" fontId="6" fillId="8" borderId="7" xfId="0" applyNumberFormat="1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165" fontId="21" fillId="8" borderId="30" xfId="0" applyNumberFormat="1" applyFont="1" applyFill="1" applyBorder="1" applyAlignment="1">
      <alignment horizontal="right"/>
    </xf>
    <xf numFmtId="165" fontId="21" fillId="8" borderId="21" xfId="0" applyNumberFormat="1" applyFont="1" applyFill="1" applyBorder="1" applyAlignment="1">
      <alignment horizontal="right"/>
    </xf>
    <xf numFmtId="0" fontId="3" fillId="8" borderId="6" xfId="0" applyFont="1" applyFill="1" applyBorder="1" applyAlignment="1">
      <alignment horizontal="center"/>
    </xf>
    <xf numFmtId="0" fontId="3" fillId="8" borderId="15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164" fontId="3" fillId="8" borderId="6" xfId="0" applyNumberFormat="1" applyFont="1" applyFill="1" applyBorder="1" applyAlignment="1">
      <alignment horizontal="center" vertical="center"/>
    </xf>
    <xf numFmtId="164" fontId="3" fillId="8" borderId="7" xfId="0" applyNumberFormat="1" applyFont="1" applyFill="1" applyBorder="1" applyAlignment="1">
      <alignment horizontal="center" vertical="center"/>
    </xf>
    <xf numFmtId="165" fontId="21" fillId="8" borderId="37" xfId="0" applyNumberFormat="1" applyFont="1" applyFill="1" applyBorder="1" applyAlignment="1">
      <alignment horizontal="right"/>
    </xf>
    <xf numFmtId="165" fontId="3" fillId="8" borderId="20" xfId="0" applyNumberFormat="1" applyFont="1" applyFill="1" applyBorder="1"/>
    <xf numFmtId="165" fontId="21" fillId="8" borderId="20" xfId="0" applyNumberFormat="1" applyFont="1" applyFill="1" applyBorder="1" applyAlignment="1">
      <alignment horizontal="right"/>
    </xf>
    <xf numFmtId="0" fontId="3" fillId="8" borderId="31" xfId="0" applyFont="1" applyFill="1" applyBorder="1" applyAlignment="1">
      <alignment horizontal="left"/>
    </xf>
    <xf numFmtId="0" fontId="3" fillId="8" borderId="32" xfId="0" applyFont="1" applyFill="1" applyBorder="1" applyAlignment="1">
      <alignment horizontal="left"/>
    </xf>
    <xf numFmtId="0" fontId="3" fillId="8" borderId="5" xfId="0" applyFont="1" applyFill="1" applyBorder="1" applyAlignment="1">
      <alignment horizontal="left"/>
    </xf>
    <xf numFmtId="0" fontId="6" fillId="8" borderId="9" xfId="0" applyFont="1" applyFill="1" applyBorder="1" applyAlignment="1">
      <alignment horizontal="center" vertical="top"/>
    </xf>
    <xf numFmtId="0" fontId="6" fillId="8" borderId="28" xfId="0" applyFont="1" applyFill="1" applyBorder="1" applyAlignment="1">
      <alignment horizontal="center" vertical="top"/>
    </xf>
    <xf numFmtId="0" fontId="3" fillId="8" borderId="17" xfId="0" applyFont="1" applyFill="1" applyBorder="1" applyAlignment="1">
      <alignment horizontal="left" vertical="top"/>
    </xf>
    <xf numFmtId="0" fontId="3" fillId="8" borderId="0" xfId="0" applyFont="1" applyFill="1" applyAlignment="1">
      <alignment horizontal="left" vertical="top"/>
    </xf>
    <xf numFmtId="0" fontId="3" fillId="8" borderId="27" xfId="0" applyFont="1" applyFill="1" applyBorder="1" applyAlignment="1">
      <alignment horizontal="left" vertical="top"/>
    </xf>
    <xf numFmtId="0" fontId="3" fillId="8" borderId="11" xfId="0" applyFont="1" applyFill="1" applyBorder="1" applyAlignment="1">
      <alignment horizontal="left" vertical="top"/>
    </xf>
    <xf numFmtId="0" fontId="3" fillId="8" borderId="2" xfId="0" applyFont="1" applyFill="1" applyBorder="1" applyAlignment="1">
      <alignment horizontal="left" vertical="top"/>
    </xf>
    <xf numFmtId="0" fontId="3" fillId="8" borderId="33" xfId="0" applyFont="1" applyFill="1" applyBorder="1" applyAlignment="1">
      <alignment horizontal="left" vertical="top"/>
    </xf>
    <xf numFmtId="0" fontId="3" fillId="8" borderId="34" xfId="0" applyFont="1" applyFill="1" applyBorder="1" applyAlignment="1">
      <alignment horizontal="center" vertical="top"/>
    </xf>
    <xf numFmtId="0" fontId="3" fillId="8" borderId="35" xfId="0" applyFont="1" applyFill="1" applyBorder="1" applyAlignment="1">
      <alignment horizontal="center" vertical="top"/>
    </xf>
    <xf numFmtId="164" fontId="3" fillId="8" borderId="15" xfId="0" applyNumberFormat="1" applyFont="1" applyFill="1" applyBorder="1" applyAlignment="1">
      <alignment horizontal="center" vertical="center"/>
    </xf>
    <xf numFmtId="164" fontId="3" fillId="8" borderId="14" xfId="0" applyNumberFormat="1" applyFont="1" applyFill="1" applyBorder="1" applyAlignment="1">
      <alignment horizontal="center" vertical="center"/>
    </xf>
    <xf numFmtId="165" fontId="21" fillId="8" borderId="14" xfId="0" applyNumberFormat="1" applyFont="1" applyFill="1" applyBorder="1" applyAlignment="1">
      <alignment horizontal="right" vertical="center"/>
    </xf>
    <xf numFmtId="0" fontId="3" fillId="8" borderId="14" xfId="0" applyFont="1" applyFill="1" applyBorder="1" applyAlignment="1">
      <alignment vertical="top"/>
    </xf>
    <xf numFmtId="0" fontId="3" fillId="8" borderId="15" xfId="0" applyFont="1" applyFill="1" applyBorder="1" applyAlignment="1">
      <alignment vertical="top"/>
    </xf>
    <xf numFmtId="0" fontId="3" fillId="8" borderId="7" xfId="0" applyFont="1" applyFill="1" applyBorder="1" applyAlignment="1">
      <alignment vertical="top"/>
    </xf>
    <xf numFmtId="0" fontId="3" fillId="8" borderId="6" xfId="0" applyFont="1" applyFill="1" applyBorder="1" applyAlignment="1">
      <alignment horizontal="left"/>
    </xf>
    <xf numFmtId="0" fontId="3" fillId="8" borderId="15" xfId="0" applyFont="1" applyFill="1" applyBorder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8" borderId="15" xfId="0" applyFont="1" applyFill="1" applyBorder="1" applyAlignment="1">
      <alignment horizontal="center" vertical="top"/>
    </xf>
    <xf numFmtId="0" fontId="3" fillId="8" borderId="23" xfId="0" applyFont="1" applyFill="1" applyBorder="1" applyAlignment="1">
      <alignment horizontal="center" vertical="top"/>
    </xf>
    <xf numFmtId="0" fontId="3" fillId="8" borderId="8" xfId="0" applyFont="1" applyFill="1" applyBorder="1" applyAlignment="1">
      <alignment horizontal="left" vertical="top"/>
    </xf>
    <xf numFmtId="0" fontId="3" fillId="8" borderId="26" xfId="0" applyFont="1" applyFill="1" applyBorder="1" applyAlignment="1">
      <alignment horizontal="left" vertical="top"/>
    </xf>
    <xf numFmtId="0" fontId="3" fillId="8" borderId="18" xfId="0" applyFont="1" applyFill="1" applyBorder="1" applyAlignment="1">
      <alignment horizontal="left" vertical="top"/>
    </xf>
    <xf numFmtId="0" fontId="25" fillId="8" borderId="17" xfId="0" applyFont="1" applyFill="1" applyBorder="1" applyAlignment="1">
      <alignment horizontal="center" vertical="center"/>
    </xf>
    <xf numFmtId="0" fontId="25" fillId="8" borderId="0" xfId="0" applyFont="1" applyFill="1" applyAlignment="1">
      <alignment horizontal="center" vertical="center"/>
    </xf>
    <xf numFmtId="0" fontId="25" fillId="8" borderId="27" xfId="0" applyFont="1" applyFill="1" applyBorder="1" applyAlignment="1">
      <alignment horizontal="center" vertical="center"/>
    </xf>
    <xf numFmtId="0" fontId="25" fillId="8" borderId="36" xfId="0" applyFont="1" applyFill="1" applyBorder="1" applyAlignment="1">
      <alignment horizontal="center" vertical="center"/>
    </xf>
    <xf numFmtId="0" fontId="25" fillId="8" borderId="22" xfId="0" applyFont="1" applyFill="1" applyBorder="1" applyAlignment="1">
      <alignment horizontal="center" vertical="center"/>
    </xf>
    <xf numFmtId="0" fontId="25" fillId="8" borderId="18" xfId="0" applyFont="1" applyFill="1" applyBorder="1" applyAlignment="1">
      <alignment horizontal="center" vertical="center"/>
    </xf>
    <xf numFmtId="0" fontId="2" fillId="0" borderId="38" xfId="0" applyFont="1" applyBorder="1" applyAlignment="1">
      <alignment horizontal="center" vertical="top"/>
    </xf>
    <xf numFmtId="49" fontId="2" fillId="0" borderId="38" xfId="0" applyNumberFormat="1" applyFont="1" applyBorder="1" applyAlignment="1">
      <alignment horizontal="center" vertical="top"/>
    </xf>
    <xf numFmtId="0" fontId="2" fillId="0" borderId="1" xfId="0" applyFont="1" applyBorder="1" applyAlignment="1" applyProtection="1">
      <alignment horizontal="left" vertical="top" wrapText="1"/>
      <protection locked="0"/>
    </xf>
    <xf numFmtId="165" fontId="2" fillId="0" borderId="16" xfId="0" applyNumberFormat="1" applyFont="1" applyBorder="1" applyAlignment="1" applyProtection="1">
      <alignment horizontal="right" vertical="center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166" fontId="2" fillId="0" borderId="1" xfId="0" applyNumberFormat="1" applyFont="1" applyBorder="1" applyAlignment="1" applyProtection="1">
      <alignment horizontal="center" vertical="center" wrapText="1"/>
      <protection locked="0"/>
    </xf>
    <xf numFmtId="165" fontId="2" fillId="0" borderId="16" xfId="0" applyNumberFormat="1" applyFont="1" applyBorder="1" applyAlignment="1" applyProtection="1">
      <alignment horizontal="right" vertical="center" wrapText="1"/>
      <protection locked="0"/>
    </xf>
    <xf numFmtId="0" fontId="4" fillId="0" borderId="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top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14" fontId="2" fillId="0" borderId="9" xfId="0" applyNumberFormat="1" applyFont="1" applyBorder="1" applyAlignment="1" applyProtection="1">
      <alignment horizontal="center" vertical="center" wrapText="1"/>
      <protection locked="0"/>
    </xf>
    <xf numFmtId="14" fontId="2" fillId="0" borderId="28" xfId="0" applyNumberFormat="1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2" fillId="0" borderId="28" xfId="0" applyFont="1" applyBorder="1" applyAlignment="1" applyProtection="1">
      <alignment horizontal="center" vertical="center" wrapText="1"/>
      <protection locked="0"/>
    </xf>
    <xf numFmtId="0" fontId="3" fillId="8" borderId="6" xfId="0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164" fontId="3" fillId="8" borderId="8" xfId="0" applyNumberFormat="1" applyFont="1" applyFill="1" applyBorder="1" applyAlignment="1">
      <alignment horizontal="center" vertical="center"/>
    </xf>
    <xf numFmtId="164" fontId="3" fillId="8" borderId="29" xfId="0" applyNumberFormat="1" applyFont="1" applyFill="1" applyBorder="1" applyAlignment="1">
      <alignment horizontal="center" vertical="center"/>
    </xf>
    <xf numFmtId="164" fontId="3" fillId="8" borderId="13" xfId="0" applyNumberFormat="1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0" borderId="25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3" fillId="0" borderId="38" xfId="0" applyFont="1" applyBorder="1" applyAlignment="1">
      <alignment horizontal="center" vertical="top"/>
    </xf>
    <xf numFmtId="49" fontId="3" fillId="0" borderId="38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 wrapText="1"/>
    </xf>
    <xf numFmtId="165" fontId="3" fillId="0" borderId="16" xfId="0" applyNumberFormat="1" applyFont="1" applyBorder="1" applyAlignment="1" applyProtection="1">
      <alignment horizontal="right" vertical="center"/>
      <protection locked="0"/>
    </xf>
    <xf numFmtId="14" fontId="3" fillId="0" borderId="9" xfId="0" applyNumberFormat="1" applyFont="1" applyBorder="1" applyAlignment="1" applyProtection="1">
      <alignment horizontal="center" vertical="center" wrapText="1"/>
      <protection locked="0"/>
    </xf>
    <xf numFmtId="14" fontId="3" fillId="0" borderId="28" xfId="0" applyNumberFormat="1" applyFont="1" applyBorder="1" applyAlignment="1" applyProtection="1">
      <alignment horizontal="center" vertical="center" wrapText="1"/>
      <protection locked="0"/>
    </xf>
    <xf numFmtId="165" fontId="6" fillId="8" borderId="8" xfId="0" applyNumberFormat="1" applyFont="1" applyFill="1" applyBorder="1" applyAlignment="1">
      <alignment horizontal="center" vertical="center"/>
    </xf>
    <xf numFmtId="165" fontId="6" fillId="8" borderId="13" xfId="0" applyNumberFormat="1" applyFont="1" applyFill="1" applyBorder="1" applyAlignment="1">
      <alignment horizontal="center" vertical="center"/>
    </xf>
    <xf numFmtId="165" fontId="6" fillId="8" borderId="26" xfId="0" applyNumberFormat="1" applyFont="1" applyFill="1" applyBorder="1" applyAlignment="1">
      <alignment horizontal="center" vertical="center"/>
    </xf>
    <xf numFmtId="165" fontId="6" fillId="8" borderId="22" xfId="0" applyNumberFormat="1" applyFont="1" applyFill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28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1" fillId="8" borderId="36" xfId="0" applyFont="1" applyFill="1" applyBorder="1" applyAlignment="1">
      <alignment horizontal="center"/>
    </xf>
    <xf numFmtId="0" fontId="1" fillId="8" borderId="22" xfId="0" applyFont="1" applyFill="1" applyBorder="1" applyAlignment="1">
      <alignment horizontal="center"/>
    </xf>
    <xf numFmtId="49" fontId="3" fillId="0" borderId="44" xfId="0" applyNumberFormat="1" applyFont="1" applyBorder="1" applyAlignment="1">
      <alignment horizontal="center" vertical="center" wrapText="1"/>
    </xf>
    <xf numFmtId="0" fontId="6" fillId="8" borderId="22" xfId="0" applyFont="1" applyFill="1" applyBorder="1" applyAlignment="1">
      <alignment horizontal="left" vertical="top"/>
    </xf>
    <xf numFmtId="0" fontId="6" fillId="8" borderId="18" xfId="0" applyFont="1" applyFill="1" applyBorder="1" applyAlignment="1">
      <alignment horizontal="left" vertical="top"/>
    </xf>
    <xf numFmtId="0" fontId="6" fillId="8" borderId="36" xfId="0" applyFont="1" applyFill="1" applyBorder="1" applyAlignment="1">
      <alignment horizontal="right" vertical="top"/>
    </xf>
    <xf numFmtId="0" fontId="6" fillId="8" borderId="22" xfId="0" applyFont="1" applyFill="1" applyBorder="1" applyAlignment="1">
      <alignment horizontal="right" vertical="top"/>
    </xf>
  </cellXfs>
  <cellStyles count="3">
    <cellStyle name="Hyperlink" xfId="2" xr:uid="{00000000-000B-0000-0000-000008000000}"/>
    <cellStyle name="Normal" xfId="0" builtinId="0"/>
    <cellStyle name="Normal 2" xfId="1" xr:uid="{00000000-0005-0000-0000-000001000000}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9" formatCode="000&quot;.&quot;000&quot;.&quot;000&quot;-&quot;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70" formatCode="000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z val="9"/>
        <color rgb="FF242424"/>
        <name val="Aptos Narrow"/>
        <charset val="1"/>
        <scheme val="none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165" formatCode="&quot;R$&quot;\ #,##0.0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165" formatCode="&quot;R$&quot;\ #,##0.0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168" formatCode="00&quot;.&quot;000&quot;.&quot;000&quot;/&quot;0000&quot;-&quot;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E97132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rgb="FFE97132"/>
          <bgColor rgb="FFE9713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685800</xdr:colOff>
      <xdr:row>5</xdr:row>
      <xdr:rowOff>123825</xdr:rowOff>
    </xdr:from>
    <xdr:to>
      <xdr:col>16</xdr:col>
      <xdr:colOff>1323975</xdr:colOff>
      <xdr:row>7</xdr:row>
      <xdr:rowOff>85725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AB34ECAB-310C-EAE9-7E65-7B19E50A2BEF}"/>
            </a:ext>
          </a:extLst>
        </xdr:cNvPr>
        <xdr:cNvSpPr txBox="1">
          <a:spLocks noChangeArrowheads="1"/>
        </xdr:cNvSpPr>
      </xdr:nvSpPr>
      <xdr:spPr bwMode="auto">
        <a:xfrm>
          <a:off x="6134100" y="933450"/>
          <a:ext cx="8601075" cy="2857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36576" tIns="27432" rIns="0" bIns="0" anchor="t" upright="1"/>
        <a:lstStyle/>
        <a:p>
          <a:pPr algn="l" rtl="0">
            <a:defRPr sz="1000"/>
          </a:pPr>
          <a:r>
            <a:rPr lang="pt-B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      </a:t>
          </a:r>
          <a:r>
            <a:rPr lang="pt-BR" sz="1400" b="1" i="0" u="none" strike="noStrike" baseline="0">
              <a:solidFill>
                <a:srgbClr val="000000"/>
              </a:solidFill>
              <a:latin typeface="Arial"/>
              <a:cs typeface="Arial"/>
            </a:rPr>
            <a:t>DEMONSTRATIVO DA EXECUÇÃO DA RECEITA E DA DESPESA E DE PAGAMENTOS EFETUADOS </a:t>
          </a:r>
        </a:p>
      </xdr:txBody>
    </xdr:sp>
    <xdr:clientData/>
  </xdr:twoCellAnchor>
  <xdr:twoCellAnchor>
    <xdr:from>
      <xdr:col>14</xdr:col>
      <xdr:colOff>0</xdr:colOff>
      <xdr:row>3</xdr:row>
      <xdr:rowOff>123825</xdr:rowOff>
    </xdr:from>
    <xdr:to>
      <xdr:col>16</xdr:col>
      <xdr:colOff>1304925</xdr:colOff>
      <xdr:row>5</xdr:row>
      <xdr:rowOff>66675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9A89163B-588F-67A3-9DB1-1270C19AE6B9}"/>
            </a:ext>
          </a:extLst>
        </xdr:cNvPr>
        <xdr:cNvSpPr txBox="1">
          <a:spLocks noChangeArrowheads="1"/>
        </xdr:cNvSpPr>
      </xdr:nvSpPr>
      <xdr:spPr bwMode="auto">
        <a:xfrm>
          <a:off x="10106025" y="609600"/>
          <a:ext cx="4629150" cy="266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0" tIns="27432" rIns="36576" bIns="0" anchor="t" upright="1"/>
        <a:lstStyle/>
        <a:p>
          <a:pPr algn="r" rtl="0">
            <a:defRPr sz="1000"/>
          </a:pPr>
          <a:r>
            <a:rPr lang="pt-BR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P R E S T A Ç Ã O   D E   C O N T A S</a:t>
          </a:r>
        </a:p>
      </xdr:txBody>
    </xdr:sp>
    <xdr:clientData/>
  </xdr:twoCellAnchor>
  <xdr:twoCellAnchor>
    <xdr:from>
      <xdr:col>0</xdr:col>
      <xdr:colOff>45720</xdr:colOff>
      <xdr:row>0</xdr:row>
      <xdr:rowOff>45720</xdr:rowOff>
    </xdr:from>
    <xdr:to>
      <xdr:col>1</xdr:col>
      <xdr:colOff>868680</xdr:colOff>
      <xdr:row>3</xdr:row>
      <xdr:rowOff>7620</xdr:rowOff>
    </xdr:to>
    <xdr:pic>
      <xdr:nvPicPr>
        <xdr:cNvPr id="1028" name="Picture 5">
          <a:extLst>
            <a:ext uri="{FF2B5EF4-FFF2-40B4-BE49-F238E27FC236}">
              <a16:creationId xmlns:a16="http://schemas.microsoft.com/office/drawing/2014/main" id="{23C87D2A-B02F-D434-2B8E-7CA1E0616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5720"/>
          <a:ext cx="126492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447675</xdr:colOff>
      <xdr:row>58</xdr:row>
      <xdr:rowOff>47625</xdr:rowOff>
    </xdr:from>
    <xdr:to>
      <xdr:col>16</xdr:col>
      <xdr:colOff>1247775</xdr:colOff>
      <xdr:row>60</xdr:row>
      <xdr:rowOff>28575</xdr:rowOff>
    </xdr:to>
    <xdr:sp macro="" textlink="">
      <xdr:nvSpPr>
        <xdr:cNvPr id="5" name="Text Box 3">
          <a:extLst>
            <a:ext uri="{FF2B5EF4-FFF2-40B4-BE49-F238E27FC236}">
              <a16:creationId xmlns:a16="http://schemas.microsoft.com/office/drawing/2014/main" id="{4CEC9A50-24E2-0946-AD9A-B7C76EE85589}"/>
            </a:ext>
          </a:extLst>
        </xdr:cNvPr>
        <xdr:cNvSpPr txBox="1">
          <a:spLocks noChangeArrowheads="1"/>
        </xdr:cNvSpPr>
      </xdr:nvSpPr>
      <xdr:spPr bwMode="auto">
        <a:xfrm>
          <a:off x="6057900" y="1000125"/>
          <a:ext cx="7886700" cy="3619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0" tIns="27432" rIns="36576" bIns="0" anchor="t" upright="1"/>
        <a:lstStyle/>
        <a:p>
          <a:pPr algn="r" rtl="0">
            <a:defRPr sz="1000"/>
          </a:pPr>
          <a:r>
            <a:rPr lang="pt-B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     </a:t>
          </a:r>
          <a:r>
            <a:rPr lang="pt-BR" sz="1400" b="1" i="0" u="none" strike="noStrike" baseline="0">
              <a:solidFill>
                <a:srgbClr val="000000"/>
              </a:solidFill>
              <a:latin typeface="Arial"/>
              <a:cs typeface="Arial"/>
            </a:rPr>
            <a:t>DEMONSTRATIVO DA EXECUÇÃO DA RECEITA E DA DESPESA E DE PAGAMENTOS EFETUADOS</a:t>
          </a:r>
          <a:r>
            <a:rPr lang="pt-B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</xdr:txBody>
    </xdr:sp>
    <xdr:clientData/>
  </xdr:twoCellAnchor>
  <xdr:twoCellAnchor>
    <xdr:from>
      <xdr:col>13</xdr:col>
      <xdr:colOff>647700</xdr:colOff>
      <xdr:row>56</xdr:row>
      <xdr:rowOff>104775</xdr:rowOff>
    </xdr:from>
    <xdr:to>
      <xdr:col>16</xdr:col>
      <xdr:colOff>1219200</xdr:colOff>
      <xdr:row>58</xdr:row>
      <xdr:rowOff>9525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57FB23BE-B358-F2CD-8368-B9BC8CA0B40B}"/>
            </a:ext>
          </a:extLst>
        </xdr:cNvPr>
        <xdr:cNvSpPr txBox="1">
          <a:spLocks noChangeArrowheads="1"/>
        </xdr:cNvSpPr>
      </xdr:nvSpPr>
      <xdr:spPr bwMode="auto">
        <a:xfrm>
          <a:off x="10277475" y="676275"/>
          <a:ext cx="3638550" cy="2857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0" tIns="27432" rIns="36576" bIns="0" anchor="t" upright="1"/>
        <a:lstStyle/>
        <a:p>
          <a:pPr algn="r" rtl="0">
            <a:defRPr sz="1000"/>
          </a:pPr>
          <a:r>
            <a:rPr lang="pt-BR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P R E S T A Ç Ã O   D E   C O N T A S</a:t>
          </a:r>
        </a:p>
      </xdr:txBody>
    </xdr:sp>
    <xdr:clientData/>
  </xdr:twoCellAnchor>
  <xdr:twoCellAnchor>
    <xdr:from>
      <xdr:col>0</xdr:col>
      <xdr:colOff>59508</xdr:colOff>
      <xdr:row>54</xdr:row>
      <xdr:rowOff>404872</xdr:rowOff>
    </xdr:from>
    <xdr:to>
      <xdr:col>1</xdr:col>
      <xdr:colOff>390071</xdr:colOff>
      <xdr:row>56</xdr:row>
      <xdr:rowOff>8708</xdr:rowOff>
    </xdr:to>
    <xdr:pic>
      <xdr:nvPicPr>
        <xdr:cNvPr id="1031" name="Picture 13">
          <a:extLst>
            <a:ext uri="{FF2B5EF4-FFF2-40B4-BE49-F238E27FC236}">
              <a16:creationId xmlns:a16="http://schemas.microsoft.com/office/drawing/2014/main" id="{5AA3F533-C99D-7441-CA59-5B6E7B8BAB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08" y="11100086"/>
          <a:ext cx="775063" cy="5109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447675</xdr:colOff>
      <xdr:row>113</xdr:row>
      <xdr:rowOff>47625</xdr:rowOff>
    </xdr:from>
    <xdr:to>
      <xdr:col>16</xdr:col>
      <xdr:colOff>1247775</xdr:colOff>
      <xdr:row>115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7D823830-7A06-4260-8A7D-89F58B635B2B}"/>
            </a:ext>
          </a:extLst>
        </xdr:cNvPr>
        <xdr:cNvSpPr txBox="1">
          <a:spLocks noChangeArrowheads="1"/>
        </xdr:cNvSpPr>
      </xdr:nvSpPr>
      <xdr:spPr bwMode="auto">
        <a:xfrm>
          <a:off x="6053818" y="11468554"/>
          <a:ext cx="9073243" cy="34380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0" tIns="27432" rIns="36576" bIns="0" anchor="t" upright="1"/>
        <a:lstStyle/>
        <a:p>
          <a:pPr algn="r" rtl="0">
            <a:defRPr sz="1000"/>
          </a:pPr>
          <a:r>
            <a:rPr lang="pt-B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     </a:t>
          </a:r>
          <a:r>
            <a:rPr lang="pt-BR" sz="1400" b="1" i="0" u="none" strike="noStrike" baseline="0">
              <a:solidFill>
                <a:srgbClr val="000000"/>
              </a:solidFill>
              <a:latin typeface="Arial"/>
              <a:cs typeface="Arial"/>
            </a:rPr>
            <a:t>DEMONSTRATIVO DA EXECUÇÃO DA RECEITA E DA DESPESA E DE PAGAMENTOS EFETUADOS</a:t>
          </a:r>
          <a:r>
            <a:rPr lang="pt-B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</xdr:txBody>
    </xdr:sp>
    <xdr:clientData/>
  </xdr:twoCellAnchor>
  <xdr:twoCellAnchor>
    <xdr:from>
      <xdr:col>13</xdr:col>
      <xdr:colOff>647700</xdr:colOff>
      <xdr:row>111</xdr:row>
      <xdr:rowOff>104775</xdr:rowOff>
    </xdr:from>
    <xdr:to>
      <xdr:col>16</xdr:col>
      <xdr:colOff>1219200</xdr:colOff>
      <xdr:row>113</xdr:row>
      <xdr:rowOff>9525</xdr:rowOff>
    </xdr:to>
    <xdr:sp macro="" textlink="">
      <xdr:nvSpPr>
        <xdr:cNvPr id="7" name="Text Box 6">
          <a:extLst>
            <a:ext uri="{FF2B5EF4-FFF2-40B4-BE49-F238E27FC236}">
              <a16:creationId xmlns:a16="http://schemas.microsoft.com/office/drawing/2014/main" id="{9942FB84-089F-4A2A-BE97-4C51C873F369}"/>
            </a:ext>
          </a:extLst>
        </xdr:cNvPr>
        <xdr:cNvSpPr txBox="1">
          <a:spLocks noChangeArrowheads="1"/>
        </xdr:cNvSpPr>
      </xdr:nvSpPr>
      <xdr:spPr bwMode="auto">
        <a:xfrm>
          <a:off x="10417629" y="11162846"/>
          <a:ext cx="4680857" cy="2676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</xdr:spPr>
      <xdr:txBody>
        <a:bodyPr vertOverflow="clip" wrap="square" lIns="0" tIns="27432" rIns="36576" bIns="0" anchor="t" upright="1"/>
        <a:lstStyle/>
        <a:p>
          <a:pPr algn="r" rtl="0">
            <a:defRPr sz="1000"/>
          </a:pPr>
          <a:r>
            <a:rPr lang="pt-BR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P R E S T A Ç Ã O   D E   C O N T A S</a:t>
          </a:r>
        </a:p>
      </xdr:txBody>
    </xdr:sp>
    <xdr:clientData/>
  </xdr:twoCellAnchor>
  <xdr:twoCellAnchor>
    <xdr:from>
      <xdr:col>0</xdr:col>
      <xdr:colOff>77651</xdr:colOff>
      <xdr:row>110</xdr:row>
      <xdr:rowOff>130628</xdr:rowOff>
    </xdr:from>
    <xdr:to>
      <xdr:col>1</xdr:col>
      <xdr:colOff>892991</xdr:colOff>
      <xdr:row>111</xdr:row>
      <xdr:rowOff>17780</xdr:rowOff>
    </xdr:to>
    <xdr:pic>
      <xdr:nvPicPr>
        <xdr:cNvPr id="8" name="Picture 13">
          <a:extLst>
            <a:ext uri="{FF2B5EF4-FFF2-40B4-BE49-F238E27FC236}">
              <a16:creationId xmlns:a16="http://schemas.microsoft.com/office/drawing/2014/main" id="{FA123EA4-4FFD-47AB-B8FC-79F30BEA8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651" y="21711557"/>
          <a:ext cx="1259840" cy="44050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0</xdr:row>
      <xdr:rowOff>45720</xdr:rowOff>
    </xdr:from>
    <xdr:to>
      <xdr:col>0</xdr:col>
      <xdr:colOff>937260</xdr:colOff>
      <xdr:row>1</xdr:row>
      <xdr:rowOff>0</xdr:rowOff>
    </xdr:to>
    <xdr:pic>
      <xdr:nvPicPr>
        <xdr:cNvPr id="2049" name="Picture 5">
          <a:extLst>
            <a:ext uri="{FF2B5EF4-FFF2-40B4-BE49-F238E27FC236}">
              <a16:creationId xmlns:a16="http://schemas.microsoft.com/office/drawing/2014/main" id="{6E971BFB-3C0C-624A-84C2-E3ABF5BEA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5720"/>
          <a:ext cx="891540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1:N164" totalsRowShown="0" headerRowDxfId="16" dataDxfId="15" tableBorderDxfId="14">
  <autoFilter ref="A1:N164" xr:uid="{00000000-0009-0000-0100-000001000000}"/>
  <tableColumns count="14">
    <tableColumn id="1" xr3:uid="{00000000-0010-0000-0000-000001000000}" name="DESIGNAÇÃO" dataDxfId="13"/>
    <tableColumn id="2" xr3:uid="{00000000-0010-0000-0000-000002000000}" name="NOME" dataDxfId="12"/>
    <tableColumn id="3" xr3:uid="{00000000-0010-0000-0000-000003000000}" name="INEP" dataDxfId="11"/>
    <tableColumn id="4" xr3:uid="{00000000-0010-0000-0000-000004000000}" name="CNPJ" dataDxfId="10"/>
    <tableColumn id="5" xr3:uid="{00000000-0010-0000-0000-000005000000}" name="REPROGRAMADO CUSTEIO" dataDxfId="9"/>
    <tableColumn id="6" xr3:uid="{00000000-0010-0000-0000-000006000000}" name="REPROGRAMADO CAPITAL" dataDxfId="8"/>
    <tableColumn id="7" xr3:uid="{00000000-0010-0000-0000-000007000000}" name="DIRETOR" dataDxfId="7"/>
    <tableColumn id="11" xr3:uid="{00000000-0010-0000-0000-00000B000000}" name="ENDEREÇO" dataDxfId="6"/>
    <tableColumn id="13" xr3:uid="{90BD2E4A-0C3C-4E4A-96D7-153DFFBFE751}" name="AGENCIA" dataDxfId="5"/>
    <tableColumn id="10" xr3:uid="{483EC5E4-B801-40D6-BB6D-60650BFF3210}" name="CONTA CORRENTE" dataDxfId="4"/>
    <tableColumn id="14" xr3:uid="{77EE6825-56D9-4EBC-A3B5-17D6194C05BE}" name="1 PARCELA CUSTEIO" dataDxfId="3"/>
    <tableColumn id="15" xr3:uid="{05DF5BF8-5088-4380-945F-0B315FC84E67}" name="1 PARCELA CAPITAL" dataDxfId="2"/>
    <tableColumn id="8" xr3:uid="{4C0A21D8-97D9-4796-BCD3-067B6B0D3684}" name="2 PARCELA CUSTEIO" dataDxfId="1"/>
    <tableColumn id="9" xr3:uid="{FEA2512F-789E-4372-8643-4C4BF8F97241}" name="2 PARCELA CAPITAL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4"/>
  <sheetViews>
    <sheetView showGridLines="0" tabSelected="1" workbookViewId="0">
      <selection activeCell="Q16" sqref="Q16"/>
    </sheetView>
  </sheetViews>
  <sheetFormatPr defaultColWidth="8.90625" defaultRowHeight="12.75" customHeight="1" x14ac:dyDescent="0.25"/>
  <cols>
    <col min="1" max="1" width="14.08984375" style="48" customWidth="1"/>
    <col min="2" max="2" width="68" style="48" customWidth="1"/>
    <col min="3" max="3" width="9.90625" style="48" bestFit="1" customWidth="1"/>
    <col min="4" max="4" width="19.08984375" style="48" bestFit="1" customWidth="1"/>
    <col min="5" max="5" width="19.90625" style="48" customWidth="1"/>
    <col min="6" max="6" width="17.453125" style="126" customWidth="1"/>
    <col min="7" max="7" width="48.54296875" style="48" customWidth="1"/>
    <col min="8" max="8" width="90.453125" style="50" customWidth="1"/>
    <col min="9" max="9" width="13.08984375" style="54" customWidth="1"/>
    <col min="10" max="10" width="18.08984375" style="56" customWidth="1"/>
    <col min="11" max="11" width="24.54296875" style="52" bestFit="1" customWidth="1"/>
    <col min="12" max="12" width="24.08984375" style="48" bestFit="1" customWidth="1"/>
    <col min="13" max="14" width="25.54296875" style="48" bestFit="1" customWidth="1"/>
    <col min="15" max="16384" width="8.90625" style="48"/>
  </cols>
  <sheetData>
    <row r="1" spans="1:14" ht="26" x14ac:dyDescent="0.25">
      <c r="A1" s="45" t="s">
        <v>0</v>
      </c>
      <c r="B1" s="45" t="s">
        <v>1</v>
      </c>
      <c r="C1" s="45" t="s">
        <v>2</v>
      </c>
      <c r="D1" s="46" t="s">
        <v>3</v>
      </c>
      <c r="E1" s="47" t="s">
        <v>4</v>
      </c>
      <c r="F1" s="47" t="s">
        <v>5</v>
      </c>
      <c r="G1" s="45" t="s">
        <v>6</v>
      </c>
      <c r="H1" s="49" t="s">
        <v>7</v>
      </c>
      <c r="I1" s="53" t="s">
        <v>8</v>
      </c>
      <c r="J1" s="55" t="s">
        <v>9</v>
      </c>
      <c r="K1" s="51" t="s">
        <v>10</v>
      </c>
      <c r="L1" s="45" t="s">
        <v>11</v>
      </c>
      <c r="M1" s="51" t="s">
        <v>144</v>
      </c>
      <c r="N1" s="51" t="s">
        <v>145</v>
      </c>
    </row>
    <row r="2" spans="1:14" ht="14.5" x14ac:dyDescent="0.35">
      <c r="A2" s="99" t="s">
        <v>146</v>
      </c>
      <c r="B2" s="100" t="s">
        <v>147</v>
      </c>
      <c r="C2" s="103">
        <v>33069247</v>
      </c>
      <c r="D2" s="105">
        <v>4500463000173</v>
      </c>
      <c r="E2" s="62">
        <v>0</v>
      </c>
      <c r="F2" s="125">
        <v>0</v>
      </c>
      <c r="G2" t="s">
        <v>628</v>
      </c>
      <c r="H2" s="107" t="s">
        <v>472</v>
      </c>
      <c r="I2" s="66">
        <v>249</v>
      </c>
      <c r="J2" s="124">
        <v>549789</v>
      </c>
      <c r="K2" s="62">
        <v>0</v>
      </c>
      <c r="L2" s="62">
        <v>0</v>
      </c>
      <c r="M2" s="108">
        <v>0</v>
      </c>
      <c r="N2" s="108">
        <v>0</v>
      </c>
    </row>
    <row r="3" spans="1:14" ht="14.5" x14ac:dyDescent="0.35">
      <c r="A3" s="101" t="s">
        <v>148</v>
      </c>
      <c r="B3" s="102" t="s">
        <v>149</v>
      </c>
      <c r="C3" s="104">
        <v>33069093</v>
      </c>
      <c r="D3" s="106">
        <v>4552825000170</v>
      </c>
      <c r="E3" s="62">
        <v>1.07</v>
      </c>
      <c r="F3" s="125">
        <v>0</v>
      </c>
      <c r="G3" t="s">
        <v>629</v>
      </c>
      <c r="H3" s="107" t="s">
        <v>473</v>
      </c>
      <c r="I3" s="66">
        <v>249</v>
      </c>
      <c r="J3" s="124">
        <v>549797</v>
      </c>
      <c r="K3" s="62">
        <v>0</v>
      </c>
      <c r="L3" s="62">
        <v>0</v>
      </c>
      <c r="M3" s="108">
        <v>0</v>
      </c>
      <c r="N3" s="108">
        <v>0</v>
      </c>
    </row>
    <row r="4" spans="1:14" ht="14.5" x14ac:dyDescent="0.35">
      <c r="A4" s="99" t="s">
        <v>150</v>
      </c>
      <c r="B4" s="100" t="s">
        <v>151</v>
      </c>
      <c r="C4" s="103">
        <v>33069433</v>
      </c>
      <c r="D4" s="105">
        <v>1856391000103</v>
      </c>
      <c r="E4" s="62">
        <v>0</v>
      </c>
      <c r="F4" s="125">
        <v>0</v>
      </c>
      <c r="G4" t="s">
        <v>630</v>
      </c>
      <c r="H4" s="107" t="s">
        <v>474</v>
      </c>
      <c r="I4" s="66">
        <v>249</v>
      </c>
      <c r="J4" s="124">
        <v>549614</v>
      </c>
      <c r="K4" s="62">
        <v>0</v>
      </c>
      <c r="L4" s="62">
        <v>0</v>
      </c>
      <c r="M4" s="108">
        <v>0</v>
      </c>
      <c r="N4" s="108">
        <v>0</v>
      </c>
    </row>
    <row r="5" spans="1:14" ht="14.5" x14ac:dyDescent="0.35">
      <c r="A5" s="101" t="s">
        <v>152</v>
      </c>
      <c r="B5" s="102" t="s">
        <v>153</v>
      </c>
      <c r="C5" s="104">
        <v>33069379</v>
      </c>
      <c r="D5" s="106">
        <v>4974720000109</v>
      </c>
      <c r="E5" s="62">
        <v>0</v>
      </c>
      <c r="F5" s="125">
        <v>0</v>
      </c>
      <c r="G5" t="s">
        <v>631</v>
      </c>
      <c r="H5" s="107" t="s">
        <v>475</v>
      </c>
      <c r="I5" s="66">
        <v>249</v>
      </c>
      <c r="J5" s="124">
        <v>549819</v>
      </c>
      <c r="K5" s="62">
        <v>0</v>
      </c>
      <c r="L5" s="62">
        <v>0</v>
      </c>
      <c r="M5" s="108">
        <v>0</v>
      </c>
      <c r="N5" s="108">
        <v>0</v>
      </c>
    </row>
    <row r="6" spans="1:14" ht="14.5" x14ac:dyDescent="0.35">
      <c r="A6" s="99" t="s">
        <v>154</v>
      </c>
      <c r="B6" s="100" t="s">
        <v>155</v>
      </c>
      <c r="C6" s="103">
        <v>33069271</v>
      </c>
      <c r="D6" s="105">
        <v>1226403000116</v>
      </c>
      <c r="E6" s="62">
        <v>0</v>
      </c>
      <c r="F6" s="125">
        <v>0</v>
      </c>
      <c r="G6" t="s">
        <v>632</v>
      </c>
      <c r="H6" s="107" t="s">
        <v>476</v>
      </c>
      <c r="I6" s="66">
        <v>249</v>
      </c>
      <c r="J6" s="124" t="s">
        <v>791</v>
      </c>
      <c r="K6" s="62">
        <v>0</v>
      </c>
      <c r="L6" s="62">
        <v>0</v>
      </c>
      <c r="M6" s="108">
        <v>0</v>
      </c>
      <c r="N6" s="108">
        <v>0</v>
      </c>
    </row>
    <row r="7" spans="1:14" ht="14.5" x14ac:dyDescent="0.35">
      <c r="A7" s="101" t="s">
        <v>156</v>
      </c>
      <c r="B7" s="102" t="s">
        <v>157</v>
      </c>
      <c r="C7" s="104">
        <v>33069409</v>
      </c>
      <c r="D7" s="106">
        <v>5406794000101</v>
      </c>
      <c r="E7" s="62">
        <v>0</v>
      </c>
      <c r="F7" s="125">
        <v>0</v>
      </c>
      <c r="G7" t="s">
        <v>633</v>
      </c>
      <c r="H7" s="107" t="s">
        <v>477</v>
      </c>
      <c r="I7" s="66">
        <v>249</v>
      </c>
      <c r="J7" s="124">
        <v>549827</v>
      </c>
      <c r="K7" s="62">
        <v>0</v>
      </c>
      <c r="L7" s="62">
        <v>0</v>
      </c>
      <c r="M7" s="108">
        <v>0</v>
      </c>
      <c r="N7" s="108">
        <v>0</v>
      </c>
    </row>
    <row r="8" spans="1:14" ht="14.5" x14ac:dyDescent="0.35">
      <c r="A8" s="99" t="s">
        <v>158</v>
      </c>
      <c r="B8" s="100" t="s">
        <v>159</v>
      </c>
      <c r="C8" s="103">
        <v>33069360</v>
      </c>
      <c r="D8" s="105">
        <v>1451980000101</v>
      </c>
      <c r="E8" s="62">
        <v>0</v>
      </c>
      <c r="F8" s="125">
        <v>0</v>
      </c>
      <c r="G8" t="s">
        <v>634</v>
      </c>
      <c r="H8" s="107" t="s">
        <v>478</v>
      </c>
      <c r="I8" s="66">
        <v>249</v>
      </c>
      <c r="J8" s="124">
        <v>549584</v>
      </c>
      <c r="K8" s="62">
        <v>0</v>
      </c>
      <c r="L8" s="62">
        <v>0</v>
      </c>
      <c r="M8" s="108">
        <v>0</v>
      </c>
      <c r="N8" s="108">
        <v>0</v>
      </c>
    </row>
    <row r="9" spans="1:14" ht="14.5" x14ac:dyDescent="0.35">
      <c r="A9" s="101" t="s">
        <v>160</v>
      </c>
      <c r="B9" s="102" t="s">
        <v>161</v>
      </c>
      <c r="C9" s="104">
        <v>33069468</v>
      </c>
      <c r="D9" s="106">
        <v>1197182000103</v>
      </c>
      <c r="E9" s="62">
        <v>0</v>
      </c>
      <c r="F9" s="125">
        <v>0</v>
      </c>
      <c r="G9" t="s">
        <v>635</v>
      </c>
      <c r="H9" s="107" t="s">
        <v>479</v>
      </c>
      <c r="I9" s="66">
        <v>249</v>
      </c>
      <c r="J9" s="124">
        <v>549533</v>
      </c>
      <c r="K9" s="62">
        <v>0</v>
      </c>
      <c r="L9" s="62">
        <v>0</v>
      </c>
      <c r="M9" s="108">
        <v>0</v>
      </c>
      <c r="N9" s="108">
        <v>0</v>
      </c>
    </row>
    <row r="10" spans="1:14" ht="14.5" x14ac:dyDescent="0.35">
      <c r="A10" s="99" t="s">
        <v>162</v>
      </c>
      <c r="B10" s="100" t="s">
        <v>163</v>
      </c>
      <c r="C10" s="103">
        <v>33069220</v>
      </c>
      <c r="D10" s="105">
        <v>1859799000139</v>
      </c>
      <c r="E10" s="62">
        <v>0</v>
      </c>
      <c r="F10" s="125">
        <v>7.28</v>
      </c>
      <c r="G10" t="s">
        <v>636</v>
      </c>
      <c r="H10" s="107" t="s">
        <v>480</v>
      </c>
      <c r="I10" s="66">
        <v>249</v>
      </c>
      <c r="J10" s="124">
        <v>549622</v>
      </c>
      <c r="K10" s="62">
        <v>0</v>
      </c>
      <c r="L10" s="62">
        <v>0</v>
      </c>
      <c r="M10" s="108">
        <v>0</v>
      </c>
      <c r="N10" s="108">
        <v>0</v>
      </c>
    </row>
    <row r="11" spans="1:14" ht="14.5" x14ac:dyDescent="0.35">
      <c r="A11" s="101" t="s">
        <v>164</v>
      </c>
      <c r="B11" s="102" t="s">
        <v>165</v>
      </c>
      <c r="C11" s="104">
        <v>33069328</v>
      </c>
      <c r="D11" s="106">
        <v>5485540000126</v>
      </c>
      <c r="E11" s="62">
        <v>0</v>
      </c>
      <c r="F11" s="125">
        <v>24.89</v>
      </c>
      <c r="G11" t="s">
        <v>637</v>
      </c>
      <c r="H11" s="107" t="s">
        <v>481</v>
      </c>
      <c r="I11" s="66">
        <v>249</v>
      </c>
      <c r="J11" s="124">
        <v>549835</v>
      </c>
      <c r="K11" s="62">
        <v>0</v>
      </c>
      <c r="L11" s="62">
        <v>0</v>
      </c>
      <c r="M11" s="108">
        <v>0</v>
      </c>
      <c r="N11" s="108">
        <v>0</v>
      </c>
    </row>
    <row r="12" spans="1:14" ht="14.5" x14ac:dyDescent="0.35">
      <c r="A12" s="99" t="s">
        <v>166</v>
      </c>
      <c r="B12" s="100" t="s">
        <v>167</v>
      </c>
      <c r="C12" s="103">
        <v>33069239</v>
      </c>
      <c r="D12" s="105">
        <v>1320115000126</v>
      </c>
      <c r="E12" s="62">
        <v>0</v>
      </c>
      <c r="F12" s="125">
        <v>0</v>
      </c>
      <c r="G12" t="s">
        <v>638</v>
      </c>
      <c r="H12" s="107" t="s">
        <v>482</v>
      </c>
      <c r="I12" s="66">
        <v>249</v>
      </c>
      <c r="J12" s="124">
        <v>551406</v>
      </c>
      <c r="K12" s="62">
        <v>0</v>
      </c>
      <c r="L12" s="62">
        <v>0</v>
      </c>
      <c r="M12" s="108">
        <v>0</v>
      </c>
      <c r="N12" s="108">
        <v>0</v>
      </c>
    </row>
    <row r="13" spans="1:14" ht="14.5" x14ac:dyDescent="0.35">
      <c r="A13" s="101" t="s">
        <v>168</v>
      </c>
      <c r="B13" s="102" t="s">
        <v>169</v>
      </c>
      <c r="C13" s="104">
        <v>33069166</v>
      </c>
      <c r="D13" s="106">
        <v>3108351000109</v>
      </c>
      <c r="E13" s="62">
        <v>0</v>
      </c>
      <c r="F13" s="125">
        <v>0</v>
      </c>
      <c r="G13" t="s">
        <v>639</v>
      </c>
      <c r="H13" s="107" t="s">
        <v>483</v>
      </c>
      <c r="I13" s="66">
        <v>249</v>
      </c>
      <c r="J13" s="124">
        <v>551414</v>
      </c>
      <c r="K13" s="62">
        <v>0</v>
      </c>
      <c r="L13" s="62">
        <v>0</v>
      </c>
      <c r="M13" s="108">
        <v>0</v>
      </c>
      <c r="N13" s="108">
        <v>0</v>
      </c>
    </row>
    <row r="14" spans="1:14" ht="14.5" x14ac:dyDescent="0.35">
      <c r="A14" s="99" t="s">
        <v>170</v>
      </c>
      <c r="B14" s="100" t="s">
        <v>171</v>
      </c>
      <c r="C14" s="103">
        <v>33069190</v>
      </c>
      <c r="D14" s="105">
        <v>2034159000152</v>
      </c>
      <c r="E14" s="62">
        <v>0</v>
      </c>
      <c r="F14" s="125">
        <v>0</v>
      </c>
      <c r="G14" t="s">
        <v>640</v>
      </c>
      <c r="H14" s="107" t="s">
        <v>484</v>
      </c>
      <c r="I14" s="66">
        <v>3189</v>
      </c>
      <c r="J14" s="124">
        <v>24759</v>
      </c>
      <c r="K14" s="62">
        <v>0</v>
      </c>
      <c r="L14" s="62">
        <v>0</v>
      </c>
      <c r="M14" s="108">
        <v>0</v>
      </c>
      <c r="N14" s="108">
        <v>0</v>
      </c>
    </row>
    <row r="15" spans="1:14" ht="14.5" x14ac:dyDescent="0.35">
      <c r="A15" s="101" t="s">
        <v>172</v>
      </c>
      <c r="B15" s="102" t="s">
        <v>173</v>
      </c>
      <c r="C15" s="104">
        <v>33069174</v>
      </c>
      <c r="D15" s="106">
        <v>5624227000121</v>
      </c>
      <c r="E15" s="62">
        <v>0</v>
      </c>
      <c r="F15" s="125">
        <v>0</v>
      </c>
      <c r="G15" t="s">
        <v>641</v>
      </c>
      <c r="H15" s="107" t="s">
        <v>485</v>
      </c>
      <c r="I15" s="66">
        <v>249</v>
      </c>
      <c r="J15" s="124">
        <v>549843</v>
      </c>
      <c r="K15" s="62">
        <v>0</v>
      </c>
      <c r="L15" s="62">
        <v>0</v>
      </c>
      <c r="M15" s="108">
        <v>0</v>
      </c>
      <c r="N15" s="108">
        <v>0</v>
      </c>
    </row>
    <row r="16" spans="1:14" ht="14.5" x14ac:dyDescent="0.35">
      <c r="A16" s="99" t="s">
        <v>174</v>
      </c>
      <c r="B16" s="100" t="s">
        <v>175</v>
      </c>
      <c r="C16" s="103">
        <v>33069140</v>
      </c>
      <c r="D16" s="105">
        <v>1194306000199</v>
      </c>
      <c r="E16" s="62">
        <v>0</v>
      </c>
      <c r="F16" s="125">
        <v>0</v>
      </c>
      <c r="G16" t="s">
        <v>642</v>
      </c>
      <c r="H16" s="107" t="s">
        <v>486</v>
      </c>
      <c r="I16" s="66">
        <v>249</v>
      </c>
      <c r="J16" s="124">
        <v>549525</v>
      </c>
      <c r="K16" s="62">
        <v>0</v>
      </c>
      <c r="L16" s="62">
        <v>0</v>
      </c>
      <c r="M16" s="108">
        <v>0</v>
      </c>
      <c r="N16" s="108">
        <v>0</v>
      </c>
    </row>
    <row r="17" spans="1:14" ht="14.5" x14ac:dyDescent="0.35">
      <c r="A17" s="101" t="s">
        <v>176</v>
      </c>
      <c r="B17" s="102" t="s">
        <v>177</v>
      </c>
      <c r="C17" s="104">
        <v>33069280</v>
      </c>
      <c r="D17" s="106">
        <v>1197673000146</v>
      </c>
      <c r="E17" s="62">
        <v>0</v>
      </c>
      <c r="F17" s="125">
        <v>0</v>
      </c>
      <c r="G17" t="s">
        <v>643</v>
      </c>
      <c r="H17" s="107" t="s">
        <v>487</v>
      </c>
      <c r="I17" s="66">
        <v>3189</v>
      </c>
      <c r="J17" s="124">
        <v>24619</v>
      </c>
      <c r="K17" s="62">
        <v>0</v>
      </c>
      <c r="L17" s="62">
        <v>0</v>
      </c>
      <c r="M17" s="108">
        <v>0</v>
      </c>
      <c r="N17" s="108">
        <v>0</v>
      </c>
    </row>
    <row r="18" spans="1:14" ht="14.5" x14ac:dyDescent="0.35">
      <c r="A18" s="99" t="s">
        <v>178</v>
      </c>
      <c r="B18" s="100" t="s">
        <v>179</v>
      </c>
      <c r="C18" s="103">
        <v>33069158</v>
      </c>
      <c r="D18" s="105">
        <v>1158075000168</v>
      </c>
      <c r="E18" s="62">
        <v>0</v>
      </c>
      <c r="F18" s="125">
        <v>0</v>
      </c>
      <c r="G18" t="s">
        <v>644</v>
      </c>
      <c r="H18" s="107" t="s">
        <v>488</v>
      </c>
      <c r="I18" s="66">
        <v>249</v>
      </c>
      <c r="J18" s="124">
        <v>562661</v>
      </c>
      <c r="K18" s="62">
        <v>0</v>
      </c>
      <c r="L18" s="62">
        <v>0</v>
      </c>
      <c r="M18" s="108">
        <v>0</v>
      </c>
      <c r="N18" s="108">
        <v>0</v>
      </c>
    </row>
    <row r="19" spans="1:14" ht="14.5" x14ac:dyDescent="0.35">
      <c r="A19" s="101" t="s">
        <v>180</v>
      </c>
      <c r="B19" s="102" t="s">
        <v>181</v>
      </c>
      <c r="C19" s="104">
        <v>33069336</v>
      </c>
      <c r="D19" s="106">
        <v>1235532000170</v>
      </c>
      <c r="E19" s="62">
        <v>0</v>
      </c>
      <c r="F19" s="125">
        <v>0</v>
      </c>
      <c r="G19" t="s">
        <v>645</v>
      </c>
      <c r="H19" s="107" t="s">
        <v>489</v>
      </c>
      <c r="I19" s="66">
        <v>3189</v>
      </c>
      <c r="J19" s="124">
        <v>24643</v>
      </c>
      <c r="K19" s="62">
        <v>0</v>
      </c>
      <c r="L19" s="62">
        <v>0</v>
      </c>
      <c r="M19" s="108">
        <v>0</v>
      </c>
      <c r="N19" s="108">
        <v>0</v>
      </c>
    </row>
    <row r="20" spans="1:14" ht="14.5" x14ac:dyDescent="0.35">
      <c r="A20" s="99" t="s">
        <v>182</v>
      </c>
      <c r="B20" s="100" t="s">
        <v>183</v>
      </c>
      <c r="C20" s="103">
        <v>33069301</v>
      </c>
      <c r="D20" s="105">
        <v>4847415000156</v>
      </c>
      <c r="E20" s="62">
        <v>0</v>
      </c>
      <c r="F20" s="125">
        <v>0.03</v>
      </c>
      <c r="G20" t="s">
        <v>646</v>
      </c>
      <c r="H20" s="107" t="s">
        <v>490</v>
      </c>
      <c r="I20" s="66">
        <v>249</v>
      </c>
      <c r="J20" s="124">
        <v>562882</v>
      </c>
      <c r="K20" s="62">
        <v>0</v>
      </c>
      <c r="L20" s="62">
        <v>0</v>
      </c>
      <c r="M20" s="108">
        <v>0</v>
      </c>
      <c r="N20" s="108">
        <v>0</v>
      </c>
    </row>
    <row r="21" spans="1:14" ht="14.5" x14ac:dyDescent="0.35">
      <c r="A21" s="101" t="s">
        <v>184</v>
      </c>
      <c r="B21" s="102" t="s">
        <v>185</v>
      </c>
      <c r="C21" s="104">
        <v>33069115</v>
      </c>
      <c r="D21" s="106">
        <v>1376044000183</v>
      </c>
      <c r="E21" s="62">
        <v>0</v>
      </c>
      <c r="F21" s="125">
        <v>0</v>
      </c>
      <c r="G21" t="s">
        <v>647</v>
      </c>
      <c r="H21" s="107" t="s">
        <v>491</v>
      </c>
      <c r="I21" s="66">
        <v>249</v>
      </c>
      <c r="J21" s="124">
        <v>563439</v>
      </c>
      <c r="K21" s="62">
        <v>0</v>
      </c>
      <c r="L21" s="62">
        <v>0</v>
      </c>
      <c r="M21" s="108">
        <v>0</v>
      </c>
      <c r="N21" s="108">
        <v>0</v>
      </c>
    </row>
    <row r="22" spans="1:14" ht="14.5" x14ac:dyDescent="0.35">
      <c r="A22" s="99" t="s">
        <v>186</v>
      </c>
      <c r="B22" s="100" t="s">
        <v>187</v>
      </c>
      <c r="C22" s="103">
        <v>33069395</v>
      </c>
      <c r="D22" s="105">
        <v>2820657000120</v>
      </c>
      <c r="E22" s="62">
        <v>0.04</v>
      </c>
      <c r="F22" s="125">
        <v>0</v>
      </c>
      <c r="G22" t="s">
        <v>648</v>
      </c>
      <c r="H22" s="107" t="s">
        <v>492</v>
      </c>
      <c r="I22" s="66">
        <v>249</v>
      </c>
      <c r="J22" s="124">
        <v>549703</v>
      </c>
      <c r="K22" s="62">
        <v>0</v>
      </c>
      <c r="L22" s="62">
        <v>0</v>
      </c>
      <c r="M22" s="108">
        <v>0</v>
      </c>
      <c r="N22" s="108">
        <v>0</v>
      </c>
    </row>
    <row r="23" spans="1:14" ht="14.5" x14ac:dyDescent="0.35">
      <c r="A23" s="101" t="s">
        <v>188</v>
      </c>
      <c r="B23" s="102" t="s">
        <v>189</v>
      </c>
      <c r="C23" s="104">
        <v>33068755</v>
      </c>
      <c r="D23" s="106">
        <v>5374513000186</v>
      </c>
      <c r="E23" s="62">
        <v>0</v>
      </c>
      <c r="F23" s="125">
        <v>0</v>
      </c>
      <c r="G23" t="s">
        <v>649</v>
      </c>
      <c r="H23" s="107" t="s">
        <v>493</v>
      </c>
      <c r="I23" s="66">
        <v>1254</v>
      </c>
      <c r="J23" s="124">
        <v>44563</v>
      </c>
      <c r="K23" s="62">
        <v>0</v>
      </c>
      <c r="L23" s="62">
        <v>0</v>
      </c>
      <c r="M23" s="108">
        <v>0</v>
      </c>
      <c r="N23" s="108">
        <v>0</v>
      </c>
    </row>
    <row r="24" spans="1:14" ht="14.5" x14ac:dyDescent="0.35">
      <c r="A24" s="99" t="s">
        <v>190</v>
      </c>
      <c r="B24" s="100" t="s">
        <v>191</v>
      </c>
      <c r="C24" s="103">
        <v>33068798</v>
      </c>
      <c r="D24" s="105">
        <v>2894802000118</v>
      </c>
      <c r="E24" s="62">
        <v>0</v>
      </c>
      <c r="F24" s="125">
        <v>0</v>
      </c>
      <c r="G24" t="s">
        <v>650</v>
      </c>
      <c r="H24" s="107" t="s">
        <v>494</v>
      </c>
      <c r="I24" s="66">
        <v>249</v>
      </c>
      <c r="J24" s="124" t="s">
        <v>792</v>
      </c>
      <c r="K24" s="62">
        <v>0</v>
      </c>
      <c r="L24" s="62">
        <v>0</v>
      </c>
      <c r="M24" s="108">
        <v>0</v>
      </c>
      <c r="N24" s="108">
        <v>0</v>
      </c>
    </row>
    <row r="25" spans="1:14" ht="14.5" x14ac:dyDescent="0.35">
      <c r="A25" s="101" t="s">
        <v>192</v>
      </c>
      <c r="B25" s="102" t="s">
        <v>193</v>
      </c>
      <c r="C25" s="104">
        <v>33068763</v>
      </c>
      <c r="D25" s="106">
        <v>2784061000112</v>
      </c>
      <c r="E25" s="62">
        <v>0</v>
      </c>
      <c r="F25" s="125">
        <v>0</v>
      </c>
      <c r="G25" t="s">
        <v>651</v>
      </c>
      <c r="H25" s="107" t="s">
        <v>495</v>
      </c>
      <c r="I25" s="66">
        <v>249</v>
      </c>
      <c r="J25" s="124" t="s">
        <v>793</v>
      </c>
      <c r="K25" s="62">
        <v>0</v>
      </c>
      <c r="L25" s="62">
        <v>0</v>
      </c>
      <c r="M25" s="108">
        <v>0</v>
      </c>
      <c r="N25" s="108">
        <v>0</v>
      </c>
    </row>
    <row r="26" spans="1:14" ht="14.5" x14ac:dyDescent="0.35">
      <c r="A26" s="99" t="s">
        <v>194</v>
      </c>
      <c r="B26" s="100" t="s">
        <v>195</v>
      </c>
      <c r="C26" s="103">
        <v>33136947</v>
      </c>
      <c r="D26" s="105">
        <v>12558497000147</v>
      </c>
      <c r="E26" s="62">
        <v>0</v>
      </c>
      <c r="F26" s="125">
        <v>0</v>
      </c>
      <c r="G26" t="s">
        <v>652</v>
      </c>
      <c r="H26" s="107" t="s">
        <v>496</v>
      </c>
      <c r="I26" s="66">
        <v>249</v>
      </c>
      <c r="J26" s="124">
        <v>563498</v>
      </c>
      <c r="K26" s="62">
        <v>0</v>
      </c>
      <c r="L26" s="62">
        <v>0</v>
      </c>
      <c r="M26" s="108">
        <v>0</v>
      </c>
      <c r="N26" s="108">
        <v>0</v>
      </c>
    </row>
    <row r="27" spans="1:14" ht="14.5" x14ac:dyDescent="0.35">
      <c r="A27" s="101" t="s">
        <v>196</v>
      </c>
      <c r="B27" s="102" t="s">
        <v>197</v>
      </c>
      <c r="C27" s="104">
        <v>33096511</v>
      </c>
      <c r="D27" s="106">
        <v>12672659000173</v>
      </c>
      <c r="E27" s="62">
        <v>0</v>
      </c>
      <c r="F27" s="125">
        <v>0</v>
      </c>
      <c r="G27" t="s">
        <v>653</v>
      </c>
      <c r="H27" s="107" t="s">
        <v>497</v>
      </c>
      <c r="I27" s="66">
        <v>249</v>
      </c>
      <c r="J27" s="124">
        <v>557315</v>
      </c>
      <c r="K27" s="62">
        <v>0</v>
      </c>
      <c r="L27" s="62">
        <v>0</v>
      </c>
      <c r="M27" s="108">
        <v>0</v>
      </c>
      <c r="N27" s="108">
        <v>0</v>
      </c>
    </row>
    <row r="28" spans="1:14" ht="14.5" x14ac:dyDescent="0.35">
      <c r="A28" s="99" t="s">
        <v>198</v>
      </c>
      <c r="B28" s="100" t="s">
        <v>199</v>
      </c>
      <c r="C28" s="103">
        <v>33096538</v>
      </c>
      <c r="D28" s="105">
        <v>12128507000104</v>
      </c>
      <c r="E28" s="62">
        <v>0</v>
      </c>
      <c r="F28" s="125">
        <v>0</v>
      </c>
      <c r="G28" t="s">
        <v>654</v>
      </c>
      <c r="H28" s="107" t="s">
        <v>498</v>
      </c>
      <c r="I28" s="66">
        <v>249</v>
      </c>
      <c r="J28" s="124">
        <v>551422</v>
      </c>
      <c r="K28" s="62">
        <v>0</v>
      </c>
      <c r="L28" s="62">
        <v>0</v>
      </c>
      <c r="M28" s="108">
        <v>0</v>
      </c>
      <c r="N28" s="108">
        <v>0</v>
      </c>
    </row>
    <row r="29" spans="1:14" ht="14.5" x14ac:dyDescent="0.35">
      <c r="A29" s="101" t="s">
        <v>200</v>
      </c>
      <c r="B29" s="102" t="s">
        <v>201</v>
      </c>
      <c r="C29" s="104">
        <v>33069182</v>
      </c>
      <c r="D29" s="106">
        <v>2808542000110</v>
      </c>
      <c r="E29" s="62">
        <v>0</v>
      </c>
      <c r="F29" s="125">
        <v>0</v>
      </c>
      <c r="G29" t="s">
        <v>655</v>
      </c>
      <c r="H29" s="107" t="s">
        <v>499</v>
      </c>
      <c r="I29" s="66">
        <v>249</v>
      </c>
      <c r="J29" s="124">
        <v>563455</v>
      </c>
      <c r="K29" s="62">
        <v>0</v>
      </c>
      <c r="L29" s="62">
        <v>0</v>
      </c>
      <c r="M29" s="108">
        <v>0</v>
      </c>
      <c r="N29" s="108">
        <v>0</v>
      </c>
    </row>
    <row r="30" spans="1:14" ht="14.5" x14ac:dyDescent="0.35">
      <c r="A30" s="99" t="s">
        <v>202</v>
      </c>
      <c r="B30" s="100" t="s">
        <v>203</v>
      </c>
      <c r="C30" s="103">
        <v>33523258</v>
      </c>
      <c r="D30" s="105">
        <v>18959919000172</v>
      </c>
      <c r="E30" s="62">
        <v>0</v>
      </c>
      <c r="F30" s="125">
        <v>2.13</v>
      </c>
      <c r="G30" t="s">
        <v>656</v>
      </c>
      <c r="H30" s="107" t="s">
        <v>500</v>
      </c>
      <c r="I30" s="66">
        <v>249</v>
      </c>
      <c r="J30" s="124">
        <v>549967</v>
      </c>
      <c r="K30" s="62">
        <v>0</v>
      </c>
      <c r="L30" s="62">
        <v>0</v>
      </c>
      <c r="M30" s="108">
        <v>0</v>
      </c>
      <c r="N30" s="108">
        <v>0</v>
      </c>
    </row>
    <row r="31" spans="1:14" ht="14.5" x14ac:dyDescent="0.35">
      <c r="A31" s="101" t="s">
        <v>204</v>
      </c>
      <c r="B31" s="102" t="s">
        <v>205</v>
      </c>
      <c r="C31" s="104">
        <v>33160902</v>
      </c>
      <c r="D31" s="106">
        <v>17571841000151</v>
      </c>
      <c r="E31" s="62">
        <v>2.02</v>
      </c>
      <c r="F31" s="125">
        <v>0</v>
      </c>
      <c r="G31" t="s">
        <v>657</v>
      </c>
      <c r="H31" s="107" t="s">
        <v>501</v>
      </c>
      <c r="I31" s="66">
        <v>249</v>
      </c>
      <c r="J31" s="124">
        <v>549959</v>
      </c>
      <c r="K31" s="62">
        <v>0</v>
      </c>
      <c r="L31" s="62">
        <v>0</v>
      </c>
      <c r="M31" s="108">
        <v>0</v>
      </c>
      <c r="N31" s="108">
        <v>0</v>
      </c>
    </row>
    <row r="32" spans="1:14" ht="14.5" x14ac:dyDescent="0.35">
      <c r="A32" s="99" t="s">
        <v>206</v>
      </c>
      <c r="B32" s="100" t="s">
        <v>207</v>
      </c>
      <c r="C32" s="103">
        <v>33160910</v>
      </c>
      <c r="D32" s="105">
        <v>17561015000121</v>
      </c>
      <c r="E32" s="62">
        <v>0</v>
      </c>
      <c r="F32" s="125">
        <v>0</v>
      </c>
      <c r="G32" t="s">
        <v>658</v>
      </c>
      <c r="H32" s="107" t="s">
        <v>502</v>
      </c>
      <c r="I32" s="66">
        <v>249</v>
      </c>
      <c r="J32" s="124">
        <v>551430</v>
      </c>
      <c r="K32" s="62">
        <v>0</v>
      </c>
      <c r="L32" s="62">
        <v>0</v>
      </c>
      <c r="M32" s="108">
        <v>0</v>
      </c>
      <c r="N32" s="108">
        <v>0</v>
      </c>
    </row>
    <row r="33" spans="1:14" ht="14.5" x14ac:dyDescent="0.35">
      <c r="A33" s="101" t="s">
        <v>208</v>
      </c>
      <c r="B33" s="102" t="s">
        <v>209</v>
      </c>
      <c r="C33" s="104">
        <v>33163979</v>
      </c>
      <c r="D33" s="106">
        <v>17318714000145</v>
      </c>
      <c r="E33" s="62">
        <v>0</v>
      </c>
      <c r="F33" s="125">
        <v>0</v>
      </c>
      <c r="G33" t="s">
        <v>659</v>
      </c>
      <c r="H33" s="107" t="s">
        <v>503</v>
      </c>
      <c r="I33" s="66">
        <v>3189</v>
      </c>
      <c r="J33" s="124">
        <v>26344</v>
      </c>
      <c r="K33" s="62">
        <v>0</v>
      </c>
      <c r="L33" s="62">
        <v>0</v>
      </c>
      <c r="M33" s="108">
        <v>0</v>
      </c>
      <c r="N33" s="108">
        <v>0</v>
      </c>
    </row>
    <row r="34" spans="1:14" ht="14.5" x14ac:dyDescent="0.35">
      <c r="A34" s="99" t="s">
        <v>210</v>
      </c>
      <c r="B34" s="100" t="s">
        <v>211</v>
      </c>
      <c r="C34" s="103">
        <v>33163987</v>
      </c>
      <c r="D34" s="105">
        <v>17553027000104</v>
      </c>
      <c r="E34" s="62">
        <v>0</v>
      </c>
      <c r="F34" s="125">
        <v>0</v>
      </c>
      <c r="G34" t="s">
        <v>660</v>
      </c>
      <c r="H34" s="107" t="s">
        <v>484</v>
      </c>
      <c r="I34" s="66">
        <v>3189</v>
      </c>
      <c r="J34" s="124">
        <v>341975</v>
      </c>
      <c r="K34" s="62">
        <v>0</v>
      </c>
      <c r="L34" s="62">
        <v>0</v>
      </c>
      <c r="M34" s="108">
        <v>0</v>
      </c>
      <c r="N34" s="108">
        <v>0</v>
      </c>
    </row>
    <row r="35" spans="1:14" ht="14.5" x14ac:dyDescent="0.35">
      <c r="A35" s="101" t="s">
        <v>212</v>
      </c>
      <c r="B35" s="102" t="s">
        <v>213</v>
      </c>
      <c r="C35" s="104">
        <v>33069387</v>
      </c>
      <c r="D35" s="106">
        <v>13898976000175</v>
      </c>
      <c r="E35" s="62">
        <v>0</v>
      </c>
      <c r="F35" s="125">
        <v>0</v>
      </c>
      <c r="G35" t="s">
        <v>661</v>
      </c>
      <c r="H35" s="107" t="s">
        <v>504</v>
      </c>
      <c r="I35" s="66">
        <v>249</v>
      </c>
      <c r="J35" s="124">
        <v>549916</v>
      </c>
      <c r="K35" s="62">
        <v>0</v>
      </c>
      <c r="L35" s="62">
        <v>0</v>
      </c>
      <c r="M35" s="108">
        <v>0</v>
      </c>
      <c r="N35" s="108">
        <v>0</v>
      </c>
    </row>
    <row r="36" spans="1:14" ht="14.5" x14ac:dyDescent="0.35">
      <c r="A36" s="99" t="s">
        <v>214</v>
      </c>
      <c r="B36" s="100" t="s">
        <v>215</v>
      </c>
      <c r="C36" s="103">
        <v>33171092</v>
      </c>
      <c r="D36" s="105">
        <v>20549732000142</v>
      </c>
      <c r="E36" s="62">
        <v>0</v>
      </c>
      <c r="F36" s="125">
        <v>0</v>
      </c>
      <c r="G36" t="s">
        <v>662</v>
      </c>
      <c r="H36" s="107" t="s">
        <v>505</v>
      </c>
      <c r="I36" s="66">
        <v>249</v>
      </c>
      <c r="J36" s="124">
        <v>550019</v>
      </c>
      <c r="K36" s="62">
        <v>0</v>
      </c>
      <c r="L36" s="62">
        <v>0</v>
      </c>
      <c r="M36" s="108">
        <v>0</v>
      </c>
      <c r="N36" s="108">
        <v>0</v>
      </c>
    </row>
    <row r="37" spans="1:14" ht="14.5" x14ac:dyDescent="0.35">
      <c r="A37" s="101" t="s">
        <v>216</v>
      </c>
      <c r="B37" s="102" t="s">
        <v>217</v>
      </c>
      <c r="C37" s="104">
        <v>33171106</v>
      </c>
      <c r="D37" s="106">
        <v>21470618000195</v>
      </c>
      <c r="E37" s="62">
        <v>0</v>
      </c>
      <c r="F37" s="125">
        <v>0</v>
      </c>
      <c r="G37" t="s">
        <v>663</v>
      </c>
      <c r="H37" s="107" t="s">
        <v>506</v>
      </c>
      <c r="I37" s="66">
        <v>3189</v>
      </c>
      <c r="J37" s="124">
        <v>24937</v>
      </c>
      <c r="K37" s="62">
        <v>0</v>
      </c>
      <c r="L37" s="62">
        <v>0</v>
      </c>
      <c r="M37" s="108">
        <v>0</v>
      </c>
      <c r="N37" s="108">
        <v>0</v>
      </c>
    </row>
    <row r="38" spans="1:14" ht="14.5" x14ac:dyDescent="0.35">
      <c r="A38" s="99" t="s">
        <v>218</v>
      </c>
      <c r="B38" s="100" t="s">
        <v>219</v>
      </c>
      <c r="C38" s="103">
        <v>33070679</v>
      </c>
      <c r="D38" s="105">
        <v>1155025000127</v>
      </c>
      <c r="E38" s="62">
        <v>0</v>
      </c>
      <c r="F38" s="125">
        <v>0</v>
      </c>
      <c r="G38" t="s">
        <v>664</v>
      </c>
      <c r="H38" s="107" t="s">
        <v>507</v>
      </c>
      <c r="I38" s="66">
        <v>3189</v>
      </c>
      <c r="J38" s="124">
        <v>34134</v>
      </c>
      <c r="K38" s="62">
        <v>0</v>
      </c>
      <c r="L38" s="62">
        <v>0</v>
      </c>
      <c r="M38" s="108">
        <v>0</v>
      </c>
      <c r="N38" s="108">
        <v>0</v>
      </c>
    </row>
    <row r="39" spans="1:14" ht="14.5" x14ac:dyDescent="0.35">
      <c r="A39" s="101" t="s">
        <v>220</v>
      </c>
      <c r="B39" s="102" t="s">
        <v>221</v>
      </c>
      <c r="C39" s="104">
        <v>33069298</v>
      </c>
      <c r="D39" s="106">
        <v>1226405000105</v>
      </c>
      <c r="E39" s="62">
        <v>0</v>
      </c>
      <c r="F39" s="125">
        <v>0</v>
      </c>
      <c r="G39" t="s">
        <v>665</v>
      </c>
      <c r="H39" s="107" t="s">
        <v>508</v>
      </c>
      <c r="I39" s="66">
        <v>3189</v>
      </c>
      <c r="J39" s="124">
        <v>24627</v>
      </c>
      <c r="K39" s="62">
        <v>0</v>
      </c>
      <c r="L39" s="62">
        <v>0</v>
      </c>
      <c r="M39" s="108">
        <v>0</v>
      </c>
      <c r="N39" s="108">
        <v>0</v>
      </c>
    </row>
    <row r="40" spans="1:14" ht="14.5" x14ac:dyDescent="0.35">
      <c r="A40" s="99" t="s">
        <v>222</v>
      </c>
      <c r="B40" s="100" t="s">
        <v>223</v>
      </c>
      <c r="C40" s="103">
        <v>33069204</v>
      </c>
      <c r="D40" s="105">
        <v>1325768000106</v>
      </c>
      <c r="E40" s="62">
        <v>0</v>
      </c>
      <c r="F40" s="125">
        <v>2.31</v>
      </c>
      <c r="G40" t="s">
        <v>666</v>
      </c>
      <c r="H40" s="107" t="s">
        <v>509</v>
      </c>
      <c r="I40" s="66">
        <v>3189</v>
      </c>
      <c r="J40" s="124" t="s">
        <v>794</v>
      </c>
      <c r="K40" s="62">
        <v>0</v>
      </c>
      <c r="L40" s="62">
        <v>0</v>
      </c>
      <c r="M40" s="108">
        <v>0</v>
      </c>
      <c r="N40" s="108">
        <v>0</v>
      </c>
    </row>
    <row r="41" spans="1:14" ht="14.5" x14ac:dyDescent="0.35">
      <c r="A41" s="101" t="s">
        <v>224</v>
      </c>
      <c r="B41" s="102" t="s">
        <v>225</v>
      </c>
      <c r="C41" s="104">
        <v>33070725</v>
      </c>
      <c r="D41" s="106">
        <v>3530444000127</v>
      </c>
      <c r="E41" s="62">
        <v>0</v>
      </c>
      <c r="F41" s="125">
        <v>0</v>
      </c>
      <c r="G41" t="s">
        <v>667</v>
      </c>
      <c r="H41" s="107" t="s">
        <v>510</v>
      </c>
      <c r="I41" s="66">
        <v>3189</v>
      </c>
      <c r="J41" s="124">
        <v>34185</v>
      </c>
      <c r="K41" s="62">
        <v>0</v>
      </c>
      <c r="L41" s="62">
        <v>0</v>
      </c>
      <c r="M41" s="108">
        <v>0</v>
      </c>
      <c r="N41" s="108">
        <v>0</v>
      </c>
    </row>
    <row r="42" spans="1:14" ht="15.75" customHeight="1" x14ac:dyDescent="0.35">
      <c r="A42" s="99" t="s">
        <v>226</v>
      </c>
      <c r="B42" s="100" t="s">
        <v>227</v>
      </c>
      <c r="C42" s="103">
        <v>33070458</v>
      </c>
      <c r="D42" s="105">
        <v>1235528000102</v>
      </c>
      <c r="E42" s="62">
        <v>48.64</v>
      </c>
      <c r="F42" s="125">
        <v>0</v>
      </c>
      <c r="G42" t="s">
        <v>668</v>
      </c>
      <c r="H42" s="107" t="s">
        <v>511</v>
      </c>
      <c r="I42" s="66">
        <v>3189</v>
      </c>
      <c r="J42" s="124">
        <v>24635</v>
      </c>
      <c r="K42" s="62">
        <v>0</v>
      </c>
      <c r="L42" s="62">
        <v>0</v>
      </c>
      <c r="M42" s="108">
        <v>0</v>
      </c>
      <c r="N42" s="108">
        <v>0</v>
      </c>
    </row>
    <row r="43" spans="1:14" ht="14.5" x14ac:dyDescent="0.35">
      <c r="A43" s="101" t="s">
        <v>228</v>
      </c>
      <c r="B43" s="102" t="s">
        <v>229</v>
      </c>
      <c r="C43" s="104">
        <v>33070660</v>
      </c>
      <c r="D43" s="106">
        <v>3172518000109</v>
      </c>
      <c r="E43" s="62">
        <v>0</v>
      </c>
      <c r="F43" s="125">
        <v>0</v>
      </c>
      <c r="G43" t="s">
        <v>669</v>
      </c>
      <c r="H43" s="107" t="s">
        <v>512</v>
      </c>
      <c r="I43" s="66">
        <v>3189</v>
      </c>
      <c r="J43" s="124">
        <v>24775</v>
      </c>
      <c r="K43" s="62">
        <v>0</v>
      </c>
      <c r="L43" s="62">
        <v>0</v>
      </c>
      <c r="M43" s="108">
        <v>0</v>
      </c>
      <c r="N43" s="108">
        <v>0</v>
      </c>
    </row>
    <row r="44" spans="1:14" ht="14.5" x14ac:dyDescent="0.35">
      <c r="A44" s="99" t="s">
        <v>230</v>
      </c>
      <c r="B44" s="100" t="s">
        <v>231</v>
      </c>
      <c r="C44" s="103">
        <v>33070768</v>
      </c>
      <c r="D44" s="105">
        <v>1872287000102</v>
      </c>
      <c r="E44" s="62">
        <v>0</v>
      </c>
      <c r="F44" s="125">
        <v>1905.6899999999969</v>
      </c>
      <c r="G44" t="s">
        <v>670</v>
      </c>
      <c r="H44" s="107" t="s">
        <v>513</v>
      </c>
      <c r="I44" s="66">
        <v>249</v>
      </c>
      <c r="J44" s="124" t="s">
        <v>795</v>
      </c>
      <c r="K44" s="62">
        <v>0</v>
      </c>
      <c r="L44" s="62">
        <v>0</v>
      </c>
      <c r="M44" s="108">
        <v>0</v>
      </c>
      <c r="N44" s="108">
        <v>0</v>
      </c>
    </row>
    <row r="45" spans="1:14" ht="12.75" customHeight="1" x14ac:dyDescent="0.35">
      <c r="A45" s="101" t="s">
        <v>232</v>
      </c>
      <c r="B45" s="102" t="s">
        <v>233</v>
      </c>
      <c r="C45" s="104">
        <v>33070512</v>
      </c>
      <c r="D45" s="106">
        <v>1197181000150</v>
      </c>
      <c r="E45" s="62">
        <v>0</v>
      </c>
      <c r="F45" s="125">
        <v>0</v>
      </c>
      <c r="G45" t="s">
        <v>671</v>
      </c>
      <c r="H45" s="107" t="s">
        <v>514</v>
      </c>
      <c r="I45" s="66">
        <v>249</v>
      </c>
      <c r="J45" s="124">
        <v>563412</v>
      </c>
      <c r="K45" s="62">
        <v>0</v>
      </c>
      <c r="L45" s="62">
        <v>0</v>
      </c>
      <c r="M45" s="108">
        <v>0</v>
      </c>
      <c r="N45" s="108">
        <v>0</v>
      </c>
    </row>
    <row r="46" spans="1:14" ht="12.75" customHeight="1" x14ac:dyDescent="0.35">
      <c r="A46" s="99" t="s">
        <v>234</v>
      </c>
      <c r="B46" s="100" t="s">
        <v>235</v>
      </c>
      <c r="C46" s="103">
        <v>33070423</v>
      </c>
      <c r="D46" s="105">
        <v>4511496000119</v>
      </c>
      <c r="E46" s="62">
        <v>0</v>
      </c>
      <c r="F46" s="125">
        <v>0</v>
      </c>
      <c r="G46" t="s">
        <v>672</v>
      </c>
      <c r="H46" s="107" t="s">
        <v>515</v>
      </c>
      <c r="I46" s="66">
        <v>249</v>
      </c>
      <c r="J46" s="124">
        <v>563471</v>
      </c>
      <c r="K46" s="62">
        <v>0</v>
      </c>
      <c r="L46" s="62">
        <v>0</v>
      </c>
      <c r="M46" s="108">
        <v>0</v>
      </c>
      <c r="N46" s="108">
        <v>0</v>
      </c>
    </row>
    <row r="47" spans="1:14" ht="12.75" customHeight="1" x14ac:dyDescent="0.35">
      <c r="A47" s="101" t="s">
        <v>236</v>
      </c>
      <c r="B47" s="102" t="s">
        <v>237</v>
      </c>
      <c r="C47" s="104">
        <v>33070814</v>
      </c>
      <c r="D47" s="106">
        <v>1406223000116</v>
      </c>
      <c r="E47" s="62">
        <v>4.28</v>
      </c>
      <c r="F47" s="125">
        <v>0</v>
      </c>
      <c r="G47" t="s">
        <v>673</v>
      </c>
      <c r="H47" s="107" t="s">
        <v>516</v>
      </c>
      <c r="I47" s="66">
        <v>3189</v>
      </c>
      <c r="J47" s="124">
        <v>34452</v>
      </c>
      <c r="K47" s="62">
        <v>0</v>
      </c>
      <c r="L47" s="62">
        <v>0</v>
      </c>
      <c r="M47" s="108">
        <v>0</v>
      </c>
      <c r="N47" s="108">
        <v>0</v>
      </c>
    </row>
    <row r="48" spans="1:14" ht="12.75" customHeight="1" x14ac:dyDescent="0.35">
      <c r="A48" s="99" t="s">
        <v>238</v>
      </c>
      <c r="B48" s="100" t="s">
        <v>239</v>
      </c>
      <c r="C48" s="103">
        <v>33070334</v>
      </c>
      <c r="D48" s="105">
        <v>1197186000183</v>
      </c>
      <c r="E48" s="62">
        <v>0</v>
      </c>
      <c r="F48" s="125">
        <v>0</v>
      </c>
      <c r="G48" t="s">
        <v>674</v>
      </c>
      <c r="H48" s="107" t="s">
        <v>517</v>
      </c>
      <c r="I48" s="66">
        <v>249</v>
      </c>
      <c r="J48" s="124">
        <v>563420</v>
      </c>
      <c r="K48" s="62">
        <v>0</v>
      </c>
      <c r="L48" s="62">
        <v>0</v>
      </c>
      <c r="M48" s="108">
        <v>0</v>
      </c>
      <c r="N48" s="108">
        <v>0</v>
      </c>
    </row>
    <row r="49" spans="1:14" ht="12.75" customHeight="1" x14ac:dyDescent="0.35">
      <c r="A49" s="101" t="s">
        <v>240</v>
      </c>
      <c r="B49" s="102" t="s">
        <v>241</v>
      </c>
      <c r="C49" s="104">
        <v>33070466</v>
      </c>
      <c r="D49" s="106">
        <v>1918335000156</v>
      </c>
      <c r="E49" s="62">
        <v>0.86</v>
      </c>
      <c r="F49" s="125">
        <v>0</v>
      </c>
      <c r="G49" t="s">
        <v>675</v>
      </c>
      <c r="H49" s="107" t="s">
        <v>518</v>
      </c>
      <c r="I49" s="66">
        <v>497</v>
      </c>
      <c r="J49" s="124">
        <v>22950</v>
      </c>
      <c r="K49" s="62">
        <v>0</v>
      </c>
      <c r="L49" s="62">
        <v>0</v>
      </c>
      <c r="M49" s="108">
        <v>0</v>
      </c>
      <c r="N49" s="108">
        <v>0</v>
      </c>
    </row>
    <row r="50" spans="1:14" ht="12.75" customHeight="1" x14ac:dyDescent="0.35">
      <c r="A50" s="99" t="s">
        <v>242</v>
      </c>
      <c r="B50" s="100" t="s">
        <v>243</v>
      </c>
      <c r="C50" s="103">
        <v>33070792</v>
      </c>
      <c r="D50" s="105">
        <v>1194881000191</v>
      </c>
      <c r="E50" s="62">
        <v>0</v>
      </c>
      <c r="F50" s="125">
        <v>0</v>
      </c>
      <c r="G50" t="s">
        <v>676</v>
      </c>
      <c r="H50" s="107" t="s">
        <v>519</v>
      </c>
      <c r="I50" s="66">
        <v>497</v>
      </c>
      <c r="J50" s="124">
        <v>22772</v>
      </c>
      <c r="K50" s="62">
        <v>0</v>
      </c>
      <c r="L50" s="62">
        <v>0</v>
      </c>
      <c r="M50" s="108">
        <v>0</v>
      </c>
      <c r="N50" s="108">
        <v>0</v>
      </c>
    </row>
    <row r="51" spans="1:14" ht="12.75" customHeight="1" x14ac:dyDescent="0.35">
      <c r="A51" s="101" t="s">
        <v>244</v>
      </c>
      <c r="B51" s="102" t="s">
        <v>245</v>
      </c>
      <c r="C51" s="104">
        <v>33070636</v>
      </c>
      <c r="D51" s="106">
        <v>1266143000102</v>
      </c>
      <c r="E51" s="62">
        <v>0</v>
      </c>
      <c r="F51" s="125">
        <v>0</v>
      </c>
      <c r="G51" t="s">
        <v>677</v>
      </c>
      <c r="H51" s="107" t="s">
        <v>520</v>
      </c>
      <c r="I51" s="66">
        <v>497</v>
      </c>
      <c r="J51" s="124">
        <v>22810</v>
      </c>
      <c r="K51" s="62">
        <v>0</v>
      </c>
      <c r="L51" s="62">
        <v>0</v>
      </c>
      <c r="M51" s="108">
        <v>0</v>
      </c>
      <c r="N51" s="108">
        <v>0</v>
      </c>
    </row>
    <row r="52" spans="1:14" ht="12.75" customHeight="1" x14ac:dyDescent="0.35">
      <c r="A52" s="99" t="s">
        <v>246</v>
      </c>
      <c r="B52" s="100" t="s">
        <v>247</v>
      </c>
      <c r="C52" s="103">
        <v>33070580</v>
      </c>
      <c r="D52" s="105">
        <v>1205726000123</v>
      </c>
      <c r="E52" s="62">
        <v>0</v>
      </c>
      <c r="F52" s="125">
        <v>5.22</v>
      </c>
      <c r="G52" t="s">
        <v>678</v>
      </c>
      <c r="H52" s="107" t="s">
        <v>521</v>
      </c>
      <c r="I52" s="66">
        <v>497</v>
      </c>
      <c r="J52" s="124">
        <v>22780</v>
      </c>
      <c r="K52" s="62">
        <v>0</v>
      </c>
      <c r="L52" s="62">
        <v>0</v>
      </c>
      <c r="M52" s="108">
        <v>0</v>
      </c>
      <c r="N52" s="108">
        <v>0</v>
      </c>
    </row>
    <row r="53" spans="1:14" ht="12.75" customHeight="1" x14ac:dyDescent="0.35">
      <c r="A53" s="101" t="s">
        <v>248</v>
      </c>
      <c r="B53" s="102" t="s">
        <v>249</v>
      </c>
      <c r="C53" s="104">
        <v>33070628</v>
      </c>
      <c r="D53" s="106">
        <v>5492717000111</v>
      </c>
      <c r="E53" s="62">
        <v>0.17</v>
      </c>
      <c r="F53" s="125">
        <v>6</v>
      </c>
      <c r="G53" t="s">
        <v>679</v>
      </c>
      <c r="H53" s="107" t="s">
        <v>522</v>
      </c>
      <c r="I53" s="66">
        <v>1254</v>
      </c>
      <c r="J53" s="124">
        <v>302716</v>
      </c>
      <c r="K53" s="62">
        <v>0</v>
      </c>
      <c r="L53" s="62">
        <v>0</v>
      </c>
      <c r="M53" s="108">
        <v>0</v>
      </c>
      <c r="N53" s="108">
        <v>0</v>
      </c>
    </row>
    <row r="54" spans="1:14" ht="12.75" customHeight="1" x14ac:dyDescent="0.35">
      <c r="A54" s="99" t="s">
        <v>250</v>
      </c>
      <c r="B54" s="100" t="s">
        <v>251</v>
      </c>
      <c r="C54" s="103">
        <v>33070881</v>
      </c>
      <c r="D54" s="105">
        <v>1709902000164</v>
      </c>
      <c r="E54" s="62">
        <v>0</v>
      </c>
      <c r="F54" s="125">
        <v>0</v>
      </c>
      <c r="G54" t="s">
        <v>680</v>
      </c>
      <c r="H54" s="107" t="s">
        <v>523</v>
      </c>
      <c r="I54" s="66">
        <v>3189</v>
      </c>
      <c r="J54" s="124">
        <v>24716</v>
      </c>
      <c r="K54" s="62">
        <v>0</v>
      </c>
      <c r="L54" s="62">
        <v>0</v>
      </c>
      <c r="M54" s="108">
        <v>0</v>
      </c>
      <c r="N54" s="108">
        <v>0</v>
      </c>
    </row>
    <row r="55" spans="1:14" ht="12.75" customHeight="1" x14ac:dyDescent="0.35">
      <c r="A55" s="101" t="s">
        <v>252</v>
      </c>
      <c r="B55" s="102" t="s">
        <v>253</v>
      </c>
      <c r="C55" s="104">
        <v>33070709</v>
      </c>
      <c r="D55" s="106">
        <v>4130541000195</v>
      </c>
      <c r="E55" s="62">
        <v>0</v>
      </c>
      <c r="F55" s="125">
        <v>0</v>
      </c>
      <c r="G55" t="s">
        <v>681</v>
      </c>
      <c r="H55" s="107" t="s">
        <v>524</v>
      </c>
      <c r="I55" s="66">
        <v>3189</v>
      </c>
      <c r="J55" s="124">
        <v>24805</v>
      </c>
      <c r="K55" s="62">
        <v>0</v>
      </c>
      <c r="L55" s="62">
        <v>0</v>
      </c>
      <c r="M55" s="108">
        <v>0</v>
      </c>
      <c r="N55" s="108">
        <v>0</v>
      </c>
    </row>
    <row r="56" spans="1:14" ht="12.75" customHeight="1" x14ac:dyDescent="0.35">
      <c r="A56" s="99" t="s">
        <v>254</v>
      </c>
      <c r="B56" s="100" t="s">
        <v>255</v>
      </c>
      <c r="C56" s="103">
        <v>33070784</v>
      </c>
      <c r="D56" s="105">
        <v>5011104000115</v>
      </c>
      <c r="E56" s="62">
        <v>0</v>
      </c>
      <c r="F56" s="125">
        <v>0</v>
      </c>
      <c r="G56" t="s">
        <v>682</v>
      </c>
      <c r="H56" s="107" t="s">
        <v>525</v>
      </c>
      <c r="I56" s="66">
        <v>3101</v>
      </c>
      <c r="J56" s="124">
        <v>24937</v>
      </c>
      <c r="K56" s="62">
        <v>0</v>
      </c>
      <c r="L56" s="62">
        <v>0</v>
      </c>
      <c r="M56" s="108">
        <v>0</v>
      </c>
      <c r="N56" s="108">
        <v>0</v>
      </c>
    </row>
    <row r="57" spans="1:14" ht="12.75" customHeight="1" x14ac:dyDescent="0.35">
      <c r="A57" s="101" t="s">
        <v>256</v>
      </c>
      <c r="B57" s="102" t="s">
        <v>257</v>
      </c>
      <c r="C57" s="104">
        <v>33070113</v>
      </c>
      <c r="D57" s="106">
        <v>1432937000107</v>
      </c>
      <c r="E57" s="62">
        <v>9326.6299999999992</v>
      </c>
      <c r="F57" s="125">
        <v>3405</v>
      </c>
      <c r="G57" t="s">
        <v>683</v>
      </c>
      <c r="H57" s="107" t="s">
        <v>526</v>
      </c>
      <c r="I57" s="66">
        <v>3189</v>
      </c>
      <c r="J57" s="124">
        <v>24686</v>
      </c>
      <c r="K57" s="62">
        <v>0</v>
      </c>
      <c r="L57" s="62">
        <v>0</v>
      </c>
      <c r="M57" s="108">
        <v>0</v>
      </c>
      <c r="N57" s="108">
        <v>0</v>
      </c>
    </row>
    <row r="58" spans="1:14" ht="12.75" customHeight="1" x14ac:dyDescent="0.35">
      <c r="A58" s="99" t="s">
        <v>258</v>
      </c>
      <c r="B58" s="100" t="s">
        <v>259</v>
      </c>
      <c r="C58" s="103">
        <v>33074593</v>
      </c>
      <c r="D58" s="105">
        <v>2516909000122</v>
      </c>
      <c r="E58" s="62">
        <v>0</v>
      </c>
      <c r="F58" s="125">
        <v>0</v>
      </c>
      <c r="G58" t="s">
        <v>684</v>
      </c>
      <c r="H58" s="107" t="s">
        <v>527</v>
      </c>
      <c r="I58" s="66">
        <v>497</v>
      </c>
      <c r="J58" s="124">
        <v>22985</v>
      </c>
      <c r="K58" s="62">
        <v>0</v>
      </c>
      <c r="L58" s="62">
        <v>0</v>
      </c>
      <c r="M58" s="108">
        <v>0</v>
      </c>
      <c r="N58" s="108">
        <v>0</v>
      </c>
    </row>
    <row r="59" spans="1:14" ht="12.75" customHeight="1" x14ac:dyDescent="0.35">
      <c r="A59" s="101" t="s">
        <v>260</v>
      </c>
      <c r="B59" s="102" t="s">
        <v>261</v>
      </c>
      <c r="C59" s="104">
        <v>33074542</v>
      </c>
      <c r="D59" s="106">
        <v>1549332000192</v>
      </c>
      <c r="E59" s="62">
        <v>0</v>
      </c>
      <c r="F59" s="125">
        <v>0</v>
      </c>
      <c r="G59" t="s">
        <v>685</v>
      </c>
      <c r="H59" s="107" t="s">
        <v>528</v>
      </c>
      <c r="I59" s="66">
        <v>497</v>
      </c>
      <c r="J59" s="124">
        <v>22896</v>
      </c>
      <c r="K59" s="62">
        <v>0</v>
      </c>
      <c r="L59" s="62">
        <v>0</v>
      </c>
      <c r="M59" s="108">
        <v>0</v>
      </c>
      <c r="N59" s="108">
        <v>0</v>
      </c>
    </row>
    <row r="60" spans="1:14" ht="12.75" customHeight="1" x14ac:dyDescent="0.35">
      <c r="A60" s="99" t="s">
        <v>262</v>
      </c>
      <c r="B60" s="100" t="s">
        <v>263</v>
      </c>
      <c r="C60" s="103">
        <v>33070717</v>
      </c>
      <c r="D60" s="105">
        <v>1392813000137</v>
      </c>
      <c r="E60" s="62">
        <v>0</v>
      </c>
      <c r="F60" s="125">
        <v>0</v>
      </c>
      <c r="G60" t="s">
        <v>686</v>
      </c>
      <c r="H60" s="107" t="s">
        <v>529</v>
      </c>
      <c r="I60" s="66">
        <v>3189</v>
      </c>
      <c r="J60" s="124">
        <v>24678</v>
      </c>
      <c r="K60" s="62">
        <v>0</v>
      </c>
      <c r="L60" s="62">
        <v>0</v>
      </c>
      <c r="M60" s="108">
        <v>0</v>
      </c>
      <c r="N60" s="108">
        <v>0</v>
      </c>
    </row>
    <row r="61" spans="1:14" ht="12.75" customHeight="1" x14ac:dyDescent="0.35">
      <c r="A61" s="101" t="s">
        <v>264</v>
      </c>
      <c r="B61" s="102" t="s">
        <v>265</v>
      </c>
      <c r="C61" s="104">
        <v>33070865</v>
      </c>
      <c r="D61" s="106">
        <v>1285788000192</v>
      </c>
      <c r="E61" s="62">
        <v>0.21</v>
      </c>
      <c r="F61" s="125">
        <v>0</v>
      </c>
      <c r="G61" t="s">
        <v>687</v>
      </c>
      <c r="H61" s="107" t="s">
        <v>530</v>
      </c>
      <c r="I61" s="66">
        <v>497</v>
      </c>
      <c r="J61" s="124">
        <v>22853</v>
      </c>
      <c r="K61" s="62">
        <v>0</v>
      </c>
      <c r="L61" s="62">
        <v>0</v>
      </c>
      <c r="M61" s="108">
        <v>0</v>
      </c>
      <c r="N61" s="108">
        <v>0</v>
      </c>
    </row>
    <row r="62" spans="1:14" ht="12.75" customHeight="1" x14ac:dyDescent="0.35">
      <c r="A62" s="99" t="s">
        <v>266</v>
      </c>
      <c r="B62" s="100" t="s">
        <v>267</v>
      </c>
      <c r="C62" s="103">
        <v>33070571</v>
      </c>
      <c r="D62" s="105">
        <v>1243944000152</v>
      </c>
      <c r="E62" s="62">
        <v>1.1499999999999999</v>
      </c>
      <c r="F62" s="125">
        <v>0</v>
      </c>
      <c r="G62" t="s">
        <v>688</v>
      </c>
      <c r="H62" s="107" t="s">
        <v>531</v>
      </c>
      <c r="I62" s="66">
        <v>249</v>
      </c>
      <c r="J62" s="124">
        <v>562696</v>
      </c>
      <c r="K62" s="62">
        <v>0</v>
      </c>
      <c r="L62" s="62">
        <v>0</v>
      </c>
      <c r="M62" s="108">
        <v>0</v>
      </c>
      <c r="N62" s="108">
        <v>0</v>
      </c>
    </row>
    <row r="63" spans="1:14" ht="12.75" customHeight="1" x14ac:dyDescent="0.35">
      <c r="A63" s="101" t="s">
        <v>268</v>
      </c>
      <c r="B63" s="102" t="s">
        <v>269</v>
      </c>
      <c r="C63" s="104">
        <v>33070482</v>
      </c>
      <c r="D63" s="106">
        <v>1464150000119</v>
      </c>
      <c r="E63" s="62">
        <v>100.99</v>
      </c>
      <c r="F63" s="125">
        <v>0</v>
      </c>
      <c r="G63" t="s">
        <v>689</v>
      </c>
      <c r="H63" s="107" t="s">
        <v>532</v>
      </c>
      <c r="I63" s="66">
        <v>3189</v>
      </c>
      <c r="J63" s="124">
        <v>24694</v>
      </c>
      <c r="K63" s="62">
        <v>0</v>
      </c>
      <c r="L63" s="62">
        <v>0</v>
      </c>
      <c r="M63" s="108">
        <v>0</v>
      </c>
      <c r="N63" s="108">
        <v>0</v>
      </c>
    </row>
    <row r="64" spans="1:14" ht="12.75" customHeight="1" x14ac:dyDescent="0.35">
      <c r="A64" s="99" t="s">
        <v>270</v>
      </c>
      <c r="B64" s="100" t="s">
        <v>271</v>
      </c>
      <c r="C64" s="103">
        <v>33069808</v>
      </c>
      <c r="D64" s="105">
        <v>2034313000196</v>
      </c>
      <c r="E64" s="62">
        <v>0</v>
      </c>
      <c r="F64" s="125">
        <v>0</v>
      </c>
      <c r="G64" t="s">
        <v>690</v>
      </c>
      <c r="H64" s="107" t="s">
        <v>533</v>
      </c>
      <c r="I64" s="66">
        <v>3189</v>
      </c>
      <c r="J64" s="124">
        <v>24767</v>
      </c>
      <c r="K64" s="62">
        <v>0</v>
      </c>
      <c r="L64" s="62">
        <v>0</v>
      </c>
      <c r="M64" s="108">
        <v>0</v>
      </c>
      <c r="N64" s="108">
        <v>0</v>
      </c>
    </row>
    <row r="65" spans="1:14" ht="12.75" customHeight="1" x14ac:dyDescent="0.35">
      <c r="A65" s="101" t="s">
        <v>272</v>
      </c>
      <c r="B65" s="102" t="s">
        <v>273</v>
      </c>
      <c r="C65" s="104">
        <v>33069816</v>
      </c>
      <c r="D65" s="106">
        <v>1260828000141</v>
      </c>
      <c r="E65" s="62">
        <v>0</v>
      </c>
      <c r="F65" s="125">
        <v>0</v>
      </c>
      <c r="G65" t="s">
        <v>691</v>
      </c>
      <c r="H65" s="107" t="s">
        <v>534</v>
      </c>
      <c r="I65" s="66">
        <v>3189</v>
      </c>
      <c r="J65" s="124">
        <v>24651</v>
      </c>
      <c r="K65" s="62">
        <v>0</v>
      </c>
      <c r="L65" s="62">
        <v>0</v>
      </c>
      <c r="M65" s="108">
        <v>0</v>
      </c>
      <c r="N65" s="108">
        <v>0</v>
      </c>
    </row>
    <row r="66" spans="1:14" ht="12.75" customHeight="1" x14ac:dyDescent="0.35">
      <c r="A66" s="99" t="s">
        <v>274</v>
      </c>
      <c r="B66" s="100" t="s">
        <v>275</v>
      </c>
      <c r="C66" s="103">
        <v>33122822</v>
      </c>
      <c r="D66" s="105">
        <v>21554317000140</v>
      </c>
      <c r="E66" s="62">
        <v>3.03</v>
      </c>
      <c r="F66" s="125">
        <v>0</v>
      </c>
      <c r="G66" t="s">
        <v>692</v>
      </c>
      <c r="H66" s="107" t="s">
        <v>535</v>
      </c>
      <c r="I66" s="66">
        <v>3189</v>
      </c>
      <c r="J66" s="124">
        <v>24945</v>
      </c>
      <c r="K66" s="62">
        <v>0</v>
      </c>
      <c r="L66" s="62">
        <v>0</v>
      </c>
      <c r="M66" s="108">
        <v>0</v>
      </c>
      <c r="N66" s="108">
        <v>0</v>
      </c>
    </row>
    <row r="67" spans="1:14" ht="12.75" customHeight="1" x14ac:dyDescent="0.35">
      <c r="A67" s="101" t="s">
        <v>276</v>
      </c>
      <c r="B67" s="102" t="s">
        <v>277</v>
      </c>
      <c r="C67" s="104">
        <v>33144672</v>
      </c>
      <c r="D67" s="106">
        <v>12301433000166</v>
      </c>
      <c r="E67" s="62">
        <v>0</v>
      </c>
      <c r="F67" s="125">
        <v>0</v>
      </c>
      <c r="G67" t="s">
        <v>693</v>
      </c>
      <c r="H67" s="107" t="s">
        <v>536</v>
      </c>
      <c r="I67" s="66">
        <v>249</v>
      </c>
      <c r="J67" s="124">
        <v>562939</v>
      </c>
      <c r="K67" s="62">
        <v>0</v>
      </c>
      <c r="L67" s="62">
        <v>0</v>
      </c>
      <c r="M67" s="108">
        <v>0</v>
      </c>
      <c r="N67" s="108">
        <v>0</v>
      </c>
    </row>
    <row r="68" spans="1:14" ht="12.75" customHeight="1" x14ac:dyDescent="0.35">
      <c r="A68" s="99" t="s">
        <v>278</v>
      </c>
      <c r="B68" s="100" t="s">
        <v>279</v>
      </c>
      <c r="C68" s="103">
        <v>33147337</v>
      </c>
      <c r="D68" s="105">
        <v>12285566000196</v>
      </c>
      <c r="E68" s="62">
        <v>0</v>
      </c>
      <c r="F68" s="125">
        <v>0</v>
      </c>
      <c r="G68" t="s">
        <v>694</v>
      </c>
      <c r="H68" s="107" t="s">
        <v>537</v>
      </c>
      <c r="I68" s="66">
        <v>3101</v>
      </c>
      <c r="J68" s="124">
        <v>24953</v>
      </c>
      <c r="K68" s="62">
        <v>0</v>
      </c>
      <c r="L68" s="62">
        <v>0</v>
      </c>
      <c r="M68" s="108">
        <v>0</v>
      </c>
      <c r="N68" s="108">
        <v>0</v>
      </c>
    </row>
    <row r="69" spans="1:14" ht="12.75" customHeight="1" x14ac:dyDescent="0.35">
      <c r="A69" s="101" t="s">
        <v>280</v>
      </c>
      <c r="B69" s="102" t="s">
        <v>281</v>
      </c>
      <c r="C69" s="104">
        <v>33123063</v>
      </c>
      <c r="D69" s="106">
        <v>12346678000100</v>
      </c>
      <c r="E69" s="62">
        <v>0</v>
      </c>
      <c r="F69" s="125">
        <v>0</v>
      </c>
      <c r="G69" t="s">
        <v>695</v>
      </c>
      <c r="H69" s="107" t="s">
        <v>538</v>
      </c>
      <c r="I69" s="66">
        <v>249</v>
      </c>
      <c r="J69" s="124">
        <v>562955</v>
      </c>
      <c r="K69" s="62">
        <v>0</v>
      </c>
      <c r="L69" s="62">
        <v>0</v>
      </c>
      <c r="M69" s="108">
        <v>0</v>
      </c>
      <c r="N69" s="108">
        <v>0</v>
      </c>
    </row>
    <row r="70" spans="1:14" ht="12.75" customHeight="1" x14ac:dyDescent="0.35">
      <c r="A70" s="99" t="s">
        <v>282</v>
      </c>
      <c r="B70" s="100" t="s">
        <v>283</v>
      </c>
      <c r="C70" s="103">
        <v>33096554</v>
      </c>
      <c r="D70" s="105">
        <v>12518272000167</v>
      </c>
      <c r="E70" s="62">
        <v>0</v>
      </c>
      <c r="F70" s="125">
        <v>0</v>
      </c>
      <c r="G70" t="s">
        <v>696</v>
      </c>
      <c r="H70" s="107" t="s">
        <v>539</v>
      </c>
      <c r="I70" s="66">
        <v>3189</v>
      </c>
      <c r="J70" s="124">
        <v>24872</v>
      </c>
      <c r="K70" s="62">
        <v>0</v>
      </c>
      <c r="L70" s="62">
        <v>0</v>
      </c>
      <c r="M70" s="108">
        <v>0</v>
      </c>
      <c r="N70" s="108">
        <v>0</v>
      </c>
    </row>
    <row r="71" spans="1:14" ht="12.75" customHeight="1" x14ac:dyDescent="0.35">
      <c r="A71" s="101" t="s">
        <v>284</v>
      </c>
      <c r="B71" s="102" t="s">
        <v>285</v>
      </c>
      <c r="C71" s="104">
        <v>33122768</v>
      </c>
      <c r="D71" s="106">
        <v>12246672000160</v>
      </c>
      <c r="E71" s="62">
        <v>0.97</v>
      </c>
      <c r="F71" s="125">
        <v>0</v>
      </c>
      <c r="G71" t="s">
        <v>697</v>
      </c>
      <c r="H71" s="107" t="s">
        <v>540</v>
      </c>
      <c r="I71" s="66">
        <v>3101</v>
      </c>
      <c r="J71" s="124">
        <v>24945</v>
      </c>
      <c r="K71" s="62">
        <v>0</v>
      </c>
      <c r="L71" s="62">
        <v>0</v>
      </c>
      <c r="M71" s="108">
        <v>0</v>
      </c>
      <c r="N71" s="108">
        <v>0</v>
      </c>
    </row>
    <row r="72" spans="1:14" ht="12.75" customHeight="1" x14ac:dyDescent="0.35">
      <c r="A72" s="99" t="s">
        <v>286</v>
      </c>
      <c r="B72" s="100" t="s">
        <v>287</v>
      </c>
      <c r="C72" s="103">
        <v>33096368</v>
      </c>
      <c r="D72" s="105">
        <v>12445093000147</v>
      </c>
      <c r="E72" s="62">
        <v>0</v>
      </c>
      <c r="F72" s="125">
        <v>0</v>
      </c>
      <c r="G72" t="s">
        <v>698</v>
      </c>
      <c r="H72" s="107" t="s">
        <v>541</v>
      </c>
      <c r="I72" s="66">
        <v>3189</v>
      </c>
      <c r="J72" s="124">
        <v>24848</v>
      </c>
      <c r="K72" s="62">
        <v>0</v>
      </c>
      <c r="L72" s="62">
        <v>0</v>
      </c>
      <c r="M72" s="108">
        <v>0</v>
      </c>
      <c r="N72" s="108">
        <v>0</v>
      </c>
    </row>
    <row r="73" spans="1:14" ht="12.75" customHeight="1" x14ac:dyDescent="0.35">
      <c r="A73" s="101" t="s">
        <v>288</v>
      </c>
      <c r="B73" s="102" t="s">
        <v>289</v>
      </c>
      <c r="C73" s="104">
        <v>33144680</v>
      </c>
      <c r="D73" s="106">
        <v>12290969000123</v>
      </c>
      <c r="E73" s="62">
        <v>0.1</v>
      </c>
      <c r="F73" s="125">
        <v>0</v>
      </c>
      <c r="G73" t="s">
        <v>699</v>
      </c>
      <c r="H73" s="107" t="s">
        <v>542</v>
      </c>
      <c r="I73" s="66">
        <v>3101</v>
      </c>
      <c r="J73" s="124">
        <v>24961</v>
      </c>
      <c r="K73" s="62">
        <v>0</v>
      </c>
      <c r="L73" s="62">
        <v>0</v>
      </c>
      <c r="M73" s="108">
        <v>0</v>
      </c>
      <c r="N73" s="108">
        <v>0</v>
      </c>
    </row>
    <row r="74" spans="1:14" ht="12.75" customHeight="1" x14ac:dyDescent="0.35">
      <c r="A74" s="99" t="s">
        <v>290</v>
      </c>
      <c r="B74" s="100" t="s">
        <v>291</v>
      </c>
      <c r="C74" s="103">
        <v>33164070</v>
      </c>
      <c r="D74" s="105">
        <v>17112690000173</v>
      </c>
      <c r="E74" s="62">
        <v>0</v>
      </c>
      <c r="F74" s="125">
        <v>0</v>
      </c>
      <c r="G74" t="s">
        <v>700</v>
      </c>
      <c r="H74" s="107" t="s">
        <v>543</v>
      </c>
      <c r="I74" s="66">
        <v>497</v>
      </c>
      <c r="J74" s="124">
        <v>23086</v>
      </c>
      <c r="K74" s="62">
        <v>0</v>
      </c>
      <c r="L74" s="62">
        <v>0</v>
      </c>
      <c r="M74" s="108">
        <v>0</v>
      </c>
      <c r="N74" s="108">
        <v>0</v>
      </c>
    </row>
    <row r="75" spans="1:14" ht="12.75" customHeight="1" x14ac:dyDescent="0.35">
      <c r="A75" s="101" t="s">
        <v>292</v>
      </c>
      <c r="B75" s="102" t="s">
        <v>293</v>
      </c>
      <c r="C75" s="104">
        <v>33164096</v>
      </c>
      <c r="D75" s="106">
        <v>17042644000145</v>
      </c>
      <c r="E75" s="62">
        <v>0</v>
      </c>
      <c r="F75" s="125">
        <v>0</v>
      </c>
      <c r="G75" t="s">
        <v>701</v>
      </c>
      <c r="H75" s="107" t="s">
        <v>544</v>
      </c>
      <c r="I75" s="66">
        <v>3101</v>
      </c>
      <c r="J75" s="124">
        <v>35432</v>
      </c>
      <c r="K75" s="62">
        <v>0</v>
      </c>
      <c r="L75" s="62">
        <v>0</v>
      </c>
      <c r="M75" s="108">
        <v>0</v>
      </c>
      <c r="N75" s="108">
        <v>0</v>
      </c>
    </row>
    <row r="76" spans="1:14" ht="12.75" customHeight="1" x14ac:dyDescent="0.35">
      <c r="A76" s="99" t="s">
        <v>294</v>
      </c>
      <c r="B76" s="100" t="s">
        <v>295</v>
      </c>
      <c r="C76" s="103">
        <v>33167877</v>
      </c>
      <c r="D76" s="105">
        <v>21037828000194</v>
      </c>
      <c r="E76" s="62">
        <v>0</v>
      </c>
      <c r="F76" s="125">
        <v>0</v>
      </c>
      <c r="G76" t="s">
        <v>702</v>
      </c>
      <c r="H76" s="107" t="s">
        <v>545</v>
      </c>
      <c r="I76" s="66">
        <v>3189</v>
      </c>
      <c r="J76" s="124">
        <v>24929</v>
      </c>
      <c r="K76" s="62">
        <v>0</v>
      </c>
      <c r="L76" s="62">
        <v>0</v>
      </c>
      <c r="M76" s="108">
        <v>0</v>
      </c>
      <c r="N76" s="108">
        <v>0</v>
      </c>
    </row>
    <row r="77" spans="1:14" ht="12.75" customHeight="1" x14ac:dyDescent="0.35">
      <c r="A77" s="101" t="s">
        <v>296</v>
      </c>
      <c r="B77" s="102" t="s">
        <v>297</v>
      </c>
      <c r="C77" s="104">
        <v>33095825</v>
      </c>
      <c r="D77" s="106">
        <v>12369459000146</v>
      </c>
      <c r="E77" s="62">
        <v>0</v>
      </c>
      <c r="F77" s="125">
        <v>0</v>
      </c>
      <c r="G77" t="s">
        <v>703</v>
      </c>
      <c r="H77" s="107" t="s">
        <v>546</v>
      </c>
      <c r="I77" s="66">
        <v>3101</v>
      </c>
      <c r="J77" s="124" t="s">
        <v>12</v>
      </c>
      <c r="K77" s="62">
        <v>0</v>
      </c>
      <c r="L77" s="62">
        <v>0</v>
      </c>
      <c r="M77" s="108">
        <v>0</v>
      </c>
      <c r="N77" s="108">
        <v>0</v>
      </c>
    </row>
    <row r="78" spans="1:14" ht="12.75" customHeight="1" x14ac:dyDescent="0.35">
      <c r="A78" s="99" t="s">
        <v>298</v>
      </c>
      <c r="B78" s="100" t="s">
        <v>299</v>
      </c>
      <c r="C78" s="103">
        <v>33070547</v>
      </c>
      <c r="D78" s="105">
        <v>2024924000153</v>
      </c>
      <c r="E78" s="62">
        <v>0</v>
      </c>
      <c r="F78" s="125">
        <v>0</v>
      </c>
      <c r="G78" t="s">
        <v>704</v>
      </c>
      <c r="H78" s="107" t="s">
        <v>524</v>
      </c>
      <c r="I78" s="66">
        <v>249</v>
      </c>
      <c r="J78" s="124">
        <v>563447</v>
      </c>
      <c r="K78" s="62">
        <v>0</v>
      </c>
      <c r="L78" s="62">
        <v>0</v>
      </c>
      <c r="M78" s="108">
        <v>0</v>
      </c>
      <c r="N78" s="108">
        <v>0</v>
      </c>
    </row>
    <row r="79" spans="1:14" ht="12.75" customHeight="1" x14ac:dyDescent="0.35">
      <c r="A79" s="101" t="s">
        <v>300</v>
      </c>
      <c r="B79" s="102" t="s">
        <v>301</v>
      </c>
      <c r="C79" s="104">
        <v>33070598</v>
      </c>
      <c r="D79" s="106">
        <v>3188922000162</v>
      </c>
      <c r="E79" s="62">
        <v>0</v>
      </c>
      <c r="F79" s="125">
        <v>0</v>
      </c>
      <c r="G79" t="s">
        <v>705</v>
      </c>
      <c r="H79" s="107" t="s">
        <v>547</v>
      </c>
      <c r="I79" s="66">
        <v>497</v>
      </c>
      <c r="J79" s="124">
        <v>23027</v>
      </c>
      <c r="K79" s="62">
        <v>0</v>
      </c>
      <c r="L79" s="62">
        <v>0</v>
      </c>
      <c r="M79" s="108">
        <v>0</v>
      </c>
      <c r="N79" s="108">
        <v>0</v>
      </c>
    </row>
    <row r="80" spans="1:14" ht="12.75" customHeight="1" x14ac:dyDescent="0.35">
      <c r="A80" s="99" t="s">
        <v>302</v>
      </c>
      <c r="B80" s="100" t="s">
        <v>303</v>
      </c>
      <c r="C80" s="103">
        <v>33070750</v>
      </c>
      <c r="D80" s="105">
        <v>2485279000176</v>
      </c>
      <c r="E80" s="62">
        <v>0</v>
      </c>
      <c r="F80" s="125">
        <v>0</v>
      </c>
      <c r="G80" t="s">
        <v>706</v>
      </c>
      <c r="H80" s="107" t="s">
        <v>548</v>
      </c>
      <c r="I80" s="66">
        <v>497</v>
      </c>
      <c r="J80" s="124">
        <v>22977</v>
      </c>
      <c r="K80" s="62">
        <v>0</v>
      </c>
      <c r="L80" s="62">
        <v>0</v>
      </c>
      <c r="M80" s="108">
        <v>0</v>
      </c>
      <c r="N80" s="108">
        <v>0</v>
      </c>
    </row>
    <row r="81" spans="1:14" ht="12.75" customHeight="1" x14ac:dyDescent="0.35">
      <c r="A81" s="101" t="s">
        <v>304</v>
      </c>
      <c r="B81" s="102" t="s">
        <v>305</v>
      </c>
      <c r="C81" s="104">
        <v>33070873</v>
      </c>
      <c r="D81" s="106">
        <v>1530851000109</v>
      </c>
      <c r="E81" s="62">
        <v>0</v>
      </c>
      <c r="F81" s="125">
        <v>0</v>
      </c>
      <c r="G81" t="s">
        <v>707</v>
      </c>
      <c r="H81" s="107" t="s">
        <v>549</v>
      </c>
      <c r="I81" s="66">
        <v>3189</v>
      </c>
      <c r="J81" s="124">
        <v>24708</v>
      </c>
      <c r="K81" s="62">
        <v>0</v>
      </c>
      <c r="L81" s="62">
        <v>0</v>
      </c>
      <c r="M81" s="108">
        <v>0</v>
      </c>
      <c r="N81" s="108">
        <v>0</v>
      </c>
    </row>
    <row r="82" spans="1:14" ht="12.75" customHeight="1" x14ac:dyDescent="0.35">
      <c r="A82" s="99" t="s">
        <v>306</v>
      </c>
      <c r="B82" s="100" t="s">
        <v>307</v>
      </c>
      <c r="C82" s="103">
        <v>33069417</v>
      </c>
      <c r="D82" s="105">
        <v>2900428000116</v>
      </c>
      <c r="E82" s="62">
        <v>0</v>
      </c>
      <c r="F82" s="125">
        <v>0</v>
      </c>
      <c r="G82" t="s">
        <v>708</v>
      </c>
      <c r="H82" s="107" t="s">
        <v>550</v>
      </c>
      <c r="I82" s="66">
        <v>249</v>
      </c>
      <c r="J82" s="124">
        <v>549738</v>
      </c>
      <c r="K82" s="62">
        <v>0</v>
      </c>
      <c r="L82" s="62">
        <v>0</v>
      </c>
      <c r="M82" s="108">
        <v>0</v>
      </c>
      <c r="N82" s="108">
        <v>0</v>
      </c>
    </row>
    <row r="83" spans="1:14" ht="12.75" customHeight="1" x14ac:dyDescent="0.35">
      <c r="A83" s="101" t="s">
        <v>308</v>
      </c>
      <c r="B83" s="102" t="s">
        <v>309</v>
      </c>
      <c r="C83" s="104">
        <v>33069450</v>
      </c>
      <c r="D83" s="106">
        <v>7361588000158</v>
      </c>
      <c r="E83" s="62">
        <v>0</v>
      </c>
      <c r="F83" s="125">
        <v>0</v>
      </c>
      <c r="G83" t="s">
        <v>709</v>
      </c>
      <c r="H83" s="107" t="s">
        <v>551</v>
      </c>
      <c r="I83" s="66">
        <v>1254</v>
      </c>
      <c r="J83" s="124">
        <v>44571</v>
      </c>
      <c r="K83" s="62">
        <v>0</v>
      </c>
      <c r="L83" s="62">
        <v>0</v>
      </c>
      <c r="M83" s="108">
        <v>0</v>
      </c>
      <c r="N83" s="108">
        <v>0</v>
      </c>
    </row>
    <row r="84" spans="1:14" ht="12.75" customHeight="1" x14ac:dyDescent="0.35">
      <c r="A84" s="99" t="s">
        <v>310</v>
      </c>
      <c r="B84" s="100" t="s">
        <v>311</v>
      </c>
      <c r="C84" s="103">
        <v>33069131</v>
      </c>
      <c r="D84" s="105">
        <v>2439519000104</v>
      </c>
      <c r="E84" s="62">
        <v>0</v>
      </c>
      <c r="F84" s="125">
        <v>0</v>
      </c>
      <c r="G84" t="s">
        <v>710</v>
      </c>
      <c r="H84" s="107" t="s">
        <v>552</v>
      </c>
      <c r="I84" s="66">
        <v>249</v>
      </c>
      <c r="J84" s="124">
        <v>549673</v>
      </c>
      <c r="K84" s="62">
        <v>0</v>
      </c>
      <c r="L84" s="62">
        <v>0</v>
      </c>
      <c r="M84" s="108">
        <v>0</v>
      </c>
      <c r="N84" s="108">
        <v>0</v>
      </c>
    </row>
    <row r="85" spans="1:14" ht="12.75" customHeight="1" x14ac:dyDescent="0.35">
      <c r="A85" s="101" t="s">
        <v>312</v>
      </c>
      <c r="B85" s="102" t="s">
        <v>313</v>
      </c>
      <c r="C85" s="104">
        <v>33069263</v>
      </c>
      <c r="D85" s="106">
        <v>1868604000117</v>
      </c>
      <c r="E85" s="62">
        <v>0</v>
      </c>
      <c r="F85" s="125">
        <v>0</v>
      </c>
      <c r="G85" t="s">
        <v>711</v>
      </c>
      <c r="H85" s="107" t="s">
        <v>553</v>
      </c>
      <c r="I85" s="66">
        <v>249</v>
      </c>
      <c r="J85" s="124">
        <v>549630</v>
      </c>
      <c r="K85" s="62">
        <v>0</v>
      </c>
      <c r="L85" s="62">
        <v>0</v>
      </c>
      <c r="M85" s="108">
        <v>0</v>
      </c>
      <c r="N85" s="108">
        <v>0</v>
      </c>
    </row>
    <row r="86" spans="1:14" ht="12.75" customHeight="1" x14ac:dyDescent="0.35">
      <c r="A86" s="99" t="s">
        <v>314</v>
      </c>
      <c r="B86" s="100" t="s">
        <v>315</v>
      </c>
      <c r="C86" s="103">
        <v>33069441</v>
      </c>
      <c r="D86" s="105">
        <v>4017619000160</v>
      </c>
      <c r="E86" s="62">
        <v>0</v>
      </c>
      <c r="F86" s="125">
        <v>0</v>
      </c>
      <c r="G86" t="s">
        <v>712</v>
      </c>
      <c r="H86" s="107" t="s">
        <v>554</v>
      </c>
      <c r="I86" s="66">
        <v>249</v>
      </c>
      <c r="J86" s="124">
        <v>563463</v>
      </c>
      <c r="K86" s="62">
        <v>0</v>
      </c>
      <c r="L86" s="62">
        <v>0</v>
      </c>
      <c r="M86" s="108">
        <v>0</v>
      </c>
      <c r="N86" s="108">
        <v>0</v>
      </c>
    </row>
    <row r="87" spans="1:14" ht="12.75" customHeight="1" x14ac:dyDescent="0.35">
      <c r="A87" s="101" t="s">
        <v>316</v>
      </c>
      <c r="B87" s="102" t="s">
        <v>317</v>
      </c>
      <c r="C87" s="104">
        <v>33069514</v>
      </c>
      <c r="D87" s="106">
        <v>5614260000170</v>
      </c>
      <c r="E87" s="62">
        <v>0</v>
      </c>
      <c r="F87" s="125">
        <v>0</v>
      </c>
      <c r="G87" t="s">
        <v>713</v>
      </c>
      <c r="H87" s="107" t="s">
        <v>555</v>
      </c>
      <c r="I87" s="66">
        <v>1254</v>
      </c>
      <c r="J87" s="124">
        <v>306800</v>
      </c>
      <c r="K87" s="62">
        <v>0</v>
      </c>
      <c r="L87" s="62">
        <v>0</v>
      </c>
      <c r="M87" s="108">
        <v>0</v>
      </c>
      <c r="N87" s="108">
        <v>0</v>
      </c>
    </row>
    <row r="88" spans="1:14" ht="12.75" customHeight="1" x14ac:dyDescent="0.35">
      <c r="A88" s="99" t="s">
        <v>318</v>
      </c>
      <c r="B88" s="100" t="s">
        <v>319</v>
      </c>
      <c r="C88" s="103">
        <v>33146071</v>
      </c>
      <c r="D88" s="105">
        <v>5967616000150</v>
      </c>
      <c r="E88" s="62">
        <v>0</v>
      </c>
      <c r="F88" s="125">
        <v>0</v>
      </c>
      <c r="G88" t="s">
        <v>714</v>
      </c>
      <c r="H88" s="107" t="s">
        <v>556</v>
      </c>
      <c r="I88" s="66">
        <v>3111</v>
      </c>
      <c r="J88" s="124">
        <v>321125</v>
      </c>
      <c r="K88" s="62">
        <v>0</v>
      </c>
      <c r="L88" s="62">
        <v>0</v>
      </c>
      <c r="M88" s="108">
        <v>0</v>
      </c>
      <c r="N88" s="108">
        <v>0</v>
      </c>
    </row>
    <row r="89" spans="1:14" ht="12.75" customHeight="1" x14ac:dyDescent="0.35">
      <c r="A89" s="101" t="s">
        <v>320</v>
      </c>
      <c r="B89" s="102" t="s">
        <v>321</v>
      </c>
      <c r="C89" s="104">
        <v>33167478</v>
      </c>
      <c r="D89" s="106">
        <v>21362407000139</v>
      </c>
      <c r="E89" s="62">
        <v>0</v>
      </c>
      <c r="F89" s="125">
        <v>0</v>
      </c>
      <c r="G89" t="s">
        <v>715</v>
      </c>
      <c r="H89" s="107" t="s">
        <v>557</v>
      </c>
      <c r="I89" s="66">
        <v>265</v>
      </c>
      <c r="J89" s="124">
        <v>36986</v>
      </c>
      <c r="K89" s="62">
        <v>0</v>
      </c>
      <c r="L89" s="62">
        <v>0</v>
      </c>
      <c r="M89" s="108">
        <v>0</v>
      </c>
      <c r="N89" s="108">
        <v>0</v>
      </c>
    </row>
    <row r="90" spans="1:14" ht="12.75" customHeight="1" x14ac:dyDescent="0.35">
      <c r="A90" s="99" t="s">
        <v>322</v>
      </c>
      <c r="B90" s="100" t="s">
        <v>323</v>
      </c>
      <c r="C90" s="103">
        <v>33169500</v>
      </c>
      <c r="D90" s="105">
        <v>23013482000110</v>
      </c>
      <c r="E90" s="62">
        <v>0</v>
      </c>
      <c r="F90" s="125">
        <v>0</v>
      </c>
      <c r="G90" t="s">
        <v>716</v>
      </c>
      <c r="H90" s="107" t="s">
        <v>558</v>
      </c>
      <c r="I90" s="66">
        <v>249</v>
      </c>
      <c r="J90" s="124">
        <v>550086</v>
      </c>
      <c r="K90" s="62">
        <v>0</v>
      </c>
      <c r="L90" s="62">
        <v>0</v>
      </c>
      <c r="M90" s="108">
        <v>0</v>
      </c>
      <c r="N90" s="108">
        <v>0</v>
      </c>
    </row>
    <row r="91" spans="1:14" ht="12.75" customHeight="1" x14ac:dyDescent="0.35">
      <c r="A91" s="101" t="s">
        <v>324</v>
      </c>
      <c r="B91" s="102" t="s">
        <v>325</v>
      </c>
      <c r="C91" s="104">
        <v>33176892</v>
      </c>
      <c r="D91" s="106">
        <v>27289067000144</v>
      </c>
      <c r="E91" s="62">
        <v>0</v>
      </c>
      <c r="F91" s="125">
        <v>0</v>
      </c>
      <c r="G91" t="s">
        <v>717</v>
      </c>
      <c r="H91" s="107" t="s">
        <v>559</v>
      </c>
      <c r="I91" s="66">
        <v>1254</v>
      </c>
      <c r="J91" s="124" t="s">
        <v>796</v>
      </c>
      <c r="K91" s="62">
        <v>0</v>
      </c>
      <c r="L91" s="62">
        <v>0</v>
      </c>
      <c r="M91" s="108">
        <v>0</v>
      </c>
      <c r="N91" s="108">
        <v>0</v>
      </c>
    </row>
    <row r="92" spans="1:14" ht="12.75" customHeight="1" x14ac:dyDescent="0.35">
      <c r="A92" s="99" t="s">
        <v>326</v>
      </c>
      <c r="B92" s="100" t="s">
        <v>327</v>
      </c>
      <c r="C92" s="103">
        <v>33176884</v>
      </c>
      <c r="D92" s="105">
        <v>26469796000110</v>
      </c>
      <c r="E92" s="62">
        <v>0</v>
      </c>
      <c r="F92" s="125">
        <v>0</v>
      </c>
      <c r="G92" t="s">
        <v>718</v>
      </c>
      <c r="H92" s="107" t="s">
        <v>560</v>
      </c>
      <c r="I92" s="66">
        <v>1254</v>
      </c>
      <c r="J92" s="124">
        <v>44601</v>
      </c>
      <c r="K92" s="62">
        <v>0</v>
      </c>
      <c r="L92" s="62">
        <v>0</v>
      </c>
      <c r="M92" s="108">
        <v>0</v>
      </c>
      <c r="N92" s="108">
        <v>0</v>
      </c>
    </row>
    <row r="93" spans="1:14" ht="12.75" customHeight="1" x14ac:dyDescent="0.35">
      <c r="A93" s="101" t="s">
        <v>328</v>
      </c>
      <c r="B93" s="102" t="s">
        <v>329</v>
      </c>
      <c r="C93" s="104">
        <v>33175950</v>
      </c>
      <c r="D93" s="106">
        <v>26204472000150</v>
      </c>
      <c r="E93" s="62">
        <v>0</v>
      </c>
      <c r="F93" s="125">
        <v>0</v>
      </c>
      <c r="G93" t="s">
        <v>719</v>
      </c>
      <c r="H93" s="107" t="s">
        <v>560</v>
      </c>
      <c r="I93" s="66">
        <v>1254</v>
      </c>
      <c r="J93" s="124">
        <v>46485</v>
      </c>
      <c r="K93" s="62">
        <v>0</v>
      </c>
      <c r="L93" s="62">
        <v>0</v>
      </c>
      <c r="M93" s="108">
        <v>0</v>
      </c>
      <c r="N93" s="108">
        <v>0</v>
      </c>
    </row>
    <row r="94" spans="1:14" ht="12.75" customHeight="1" x14ac:dyDescent="0.35">
      <c r="A94" s="99" t="s">
        <v>330</v>
      </c>
      <c r="B94" s="100" t="s">
        <v>331</v>
      </c>
      <c r="C94" s="103">
        <v>33176051</v>
      </c>
      <c r="D94" s="105">
        <v>26231528000165</v>
      </c>
      <c r="E94" s="62">
        <v>0</v>
      </c>
      <c r="F94" s="125">
        <v>0</v>
      </c>
      <c r="G94" t="s">
        <v>720</v>
      </c>
      <c r="H94" s="107" t="s">
        <v>561</v>
      </c>
      <c r="I94" s="66">
        <v>249</v>
      </c>
      <c r="J94" s="124">
        <v>550140</v>
      </c>
      <c r="K94" s="62">
        <v>0</v>
      </c>
      <c r="L94" s="62">
        <v>0</v>
      </c>
      <c r="M94" s="108">
        <v>0</v>
      </c>
      <c r="N94" s="108">
        <v>0</v>
      </c>
    </row>
    <row r="95" spans="1:14" ht="12.75" customHeight="1" x14ac:dyDescent="0.35">
      <c r="A95" s="101" t="s">
        <v>332</v>
      </c>
      <c r="B95" s="102" t="s">
        <v>333</v>
      </c>
      <c r="C95" s="104">
        <v>33176060</v>
      </c>
      <c r="D95" s="106">
        <v>27438664000193</v>
      </c>
      <c r="E95" s="62">
        <v>0.08</v>
      </c>
      <c r="F95" s="125">
        <v>0</v>
      </c>
      <c r="G95" t="s">
        <v>721</v>
      </c>
      <c r="H95" s="107" t="s">
        <v>562</v>
      </c>
      <c r="I95" s="66">
        <v>265</v>
      </c>
      <c r="J95" s="124">
        <v>28126</v>
      </c>
      <c r="K95" s="62">
        <v>0</v>
      </c>
      <c r="L95" s="62">
        <v>0</v>
      </c>
      <c r="M95" s="108">
        <v>0</v>
      </c>
      <c r="N95" s="108">
        <v>0</v>
      </c>
    </row>
    <row r="96" spans="1:14" ht="12.75" customHeight="1" x14ac:dyDescent="0.35">
      <c r="A96" s="99" t="s">
        <v>334</v>
      </c>
      <c r="B96" s="100" t="s">
        <v>335</v>
      </c>
      <c r="C96" s="103">
        <v>33179450</v>
      </c>
      <c r="D96" s="105">
        <v>31538188000150</v>
      </c>
      <c r="E96" s="62">
        <v>0</v>
      </c>
      <c r="F96" s="125">
        <v>0</v>
      </c>
      <c r="G96" t="s">
        <v>722</v>
      </c>
      <c r="H96" s="107" t="s">
        <v>563</v>
      </c>
      <c r="I96" s="66">
        <v>1254</v>
      </c>
      <c r="J96" s="124">
        <v>297607</v>
      </c>
      <c r="K96" s="62">
        <v>0</v>
      </c>
      <c r="L96" s="62">
        <v>0</v>
      </c>
      <c r="M96" s="108">
        <v>0</v>
      </c>
      <c r="N96" s="108">
        <v>0</v>
      </c>
    </row>
    <row r="97" spans="1:14" ht="12.75" customHeight="1" x14ac:dyDescent="0.35">
      <c r="A97" s="101" t="s">
        <v>336</v>
      </c>
      <c r="B97" s="102" t="s">
        <v>337</v>
      </c>
      <c r="C97" s="104">
        <v>33179395</v>
      </c>
      <c r="D97" s="106">
        <v>31099076000140</v>
      </c>
      <c r="E97" s="62">
        <v>0</v>
      </c>
      <c r="F97" s="125">
        <v>0</v>
      </c>
      <c r="G97" t="s">
        <v>723</v>
      </c>
      <c r="H97" s="107" t="s">
        <v>564</v>
      </c>
      <c r="I97" s="66">
        <v>1254</v>
      </c>
      <c r="J97" s="124">
        <v>293830</v>
      </c>
      <c r="K97" s="62">
        <v>0</v>
      </c>
      <c r="L97" s="62">
        <v>0</v>
      </c>
      <c r="M97" s="108">
        <v>0</v>
      </c>
      <c r="N97" s="108">
        <v>0</v>
      </c>
    </row>
    <row r="98" spans="1:14" ht="12.75" customHeight="1" x14ac:dyDescent="0.35">
      <c r="A98" s="99" t="s">
        <v>338</v>
      </c>
      <c r="B98" s="100" t="s">
        <v>339</v>
      </c>
      <c r="C98" s="103">
        <v>33183813</v>
      </c>
      <c r="D98" s="105">
        <v>32065019000102</v>
      </c>
      <c r="E98" s="62">
        <v>0.37</v>
      </c>
      <c r="F98" s="125">
        <v>0</v>
      </c>
      <c r="G98" t="s">
        <v>724</v>
      </c>
      <c r="H98" s="107" t="s">
        <v>565</v>
      </c>
      <c r="I98" s="66">
        <v>1254</v>
      </c>
      <c r="J98" s="124" t="s">
        <v>797</v>
      </c>
      <c r="K98" s="62">
        <v>0</v>
      </c>
      <c r="L98" s="62">
        <v>0</v>
      </c>
      <c r="M98" s="108">
        <v>0</v>
      </c>
      <c r="N98" s="108">
        <v>0</v>
      </c>
    </row>
    <row r="99" spans="1:14" ht="12.75" customHeight="1" x14ac:dyDescent="0.35">
      <c r="A99" s="101" t="s">
        <v>340</v>
      </c>
      <c r="B99" s="102" t="s">
        <v>341</v>
      </c>
      <c r="C99" s="104">
        <v>33068771</v>
      </c>
      <c r="D99" s="106">
        <v>3170355000117</v>
      </c>
      <c r="E99" s="62">
        <v>0</v>
      </c>
      <c r="F99" s="125">
        <v>0</v>
      </c>
      <c r="G99" t="s">
        <v>725</v>
      </c>
      <c r="H99" s="107" t="s">
        <v>566</v>
      </c>
      <c r="I99" s="66">
        <v>249</v>
      </c>
      <c r="J99" s="124">
        <v>549746</v>
      </c>
      <c r="K99" s="62">
        <v>0</v>
      </c>
      <c r="L99" s="62">
        <v>0</v>
      </c>
      <c r="M99" s="108">
        <v>0</v>
      </c>
      <c r="N99" s="108">
        <v>0</v>
      </c>
    </row>
    <row r="100" spans="1:14" ht="12.75" customHeight="1" x14ac:dyDescent="0.35">
      <c r="A100" s="99" t="s">
        <v>342</v>
      </c>
      <c r="B100" s="100" t="s">
        <v>343</v>
      </c>
      <c r="C100" s="103">
        <v>33068780</v>
      </c>
      <c r="D100" s="105">
        <v>2702349000109</v>
      </c>
      <c r="E100" s="62">
        <v>0</v>
      </c>
      <c r="F100" s="125">
        <v>0</v>
      </c>
      <c r="G100" t="s">
        <v>726</v>
      </c>
      <c r="H100" s="107" t="s">
        <v>567</v>
      </c>
      <c r="I100" s="66">
        <v>249</v>
      </c>
      <c r="J100" s="124">
        <v>549681</v>
      </c>
      <c r="K100" s="62">
        <v>0</v>
      </c>
      <c r="L100" s="62">
        <v>0</v>
      </c>
      <c r="M100" s="108">
        <v>0</v>
      </c>
      <c r="N100" s="108">
        <v>0</v>
      </c>
    </row>
    <row r="101" spans="1:14" ht="12.75" customHeight="1" x14ac:dyDescent="0.35">
      <c r="A101" s="101" t="s">
        <v>344</v>
      </c>
      <c r="B101" s="102" t="s">
        <v>345</v>
      </c>
      <c r="C101" s="104">
        <v>33068747</v>
      </c>
      <c r="D101" s="106">
        <v>2016546000166</v>
      </c>
      <c r="E101" s="62">
        <v>0</v>
      </c>
      <c r="F101" s="125">
        <v>0</v>
      </c>
      <c r="G101" t="s">
        <v>727</v>
      </c>
      <c r="H101" s="107" t="s">
        <v>568</v>
      </c>
      <c r="I101" s="66">
        <v>249</v>
      </c>
      <c r="J101" s="124">
        <v>549665</v>
      </c>
      <c r="K101" s="62">
        <v>0</v>
      </c>
      <c r="L101" s="62">
        <v>0</v>
      </c>
      <c r="M101" s="108">
        <v>0</v>
      </c>
      <c r="N101" s="108">
        <v>0</v>
      </c>
    </row>
    <row r="102" spans="1:14" ht="12.75" customHeight="1" x14ac:dyDescent="0.35">
      <c r="A102" s="99" t="s">
        <v>346</v>
      </c>
      <c r="B102" s="100" t="s">
        <v>347</v>
      </c>
      <c r="C102" s="103">
        <v>33068801</v>
      </c>
      <c r="D102" s="105">
        <v>1950897000187</v>
      </c>
      <c r="E102" s="62">
        <v>0</v>
      </c>
      <c r="F102" s="125">
        <v>0</v>
      </c>
      <c r="G102" t="s">
        <v>728</v>
      </c>
      <c r="H102" s="107" t="s">
        <v>569</v>
      </c>
      <c r="I102" s="66">
        <v>249</v>
      </c>
      <c r="J102" s="124">
        <v>549657</v>
      </c>
      <c r="K102" s="62">
        <v>0</v>
      </c>
      <c r="L102" s="62">
        <v>0</v>
      </c>
      <c r="M102" s="108">
        <v>0</v>
      </c>
      <c r="N102" s="108">
        <v>0</v>
      </c>
    </row>
    <row r="103" spans="1:14" ht="12.75" customHeight="1" x14ac:dyDescent="0.35">
      <c r="A103" s="101" t="s">
        <v>348</v>
      </c>
      <c r="B103" s="102" t="s">
        <v>349</v>
      </c>
      <c r="C103" s="104">
        <v>33068739</v>
      </c>
      <c r="D103" s="106">
        <v>1175154000187</v>
      </c>
      <c r="E103" s="62">
        <v>0</v>
      </c>
      <c r="F103" s="125">
        <v>0</v>
      </c>
      <c r="G103" t="s">
        <v>729</v>
      </c>
      <c r="H103" s="107" t="s">
        <v>570</v>
      </c>
      <c r="I103" s="66">
        <v>249</v>
      </c>
      <c r="J103" s="124">
        <v>549495</v>
      </c>
      <c r="K103" s="62">
        <v>0</v>
      </c>
      <c r="L103" s="62">
        <v>0</v>
      </c>
      <c r="M103" s="108">
        <v>0</v>
      </c>
      <c r="N103" s="108">
        <v>0</v>
      </c>
    </row>
    <row r="104" spans="1:14" ht="12.75" customHeight="1" x14ac:dyDescent="0.35">
      <c r="A104" s="99" t="s">
        <v>350</v>
      </c>
      <c r="B104" s="100" t="s">
        <v>351</v>
      </c>
      <c r="C104" s="103">
        <v>33068720</v>
      </c>
      <c r="D104" s="105">
        <v>3178700000169</v>
      </c>
      <c r="E104" s="62">
        <v>0</v>
      </c>
      <c r="F104" s="125">
        <v>0</v>
      </c>
      <c r="G104" t="s">
        <v>730</v>
      </c>
      <c r="H104" s="107" t="s">
        <v>571</v>
      </c>
      <c r="I104" s="66">
        <v>249</v>
      </c>
      <c r="J104" s="124">
        <v>562858</v>
      </c>
      <c r="K104" s="62">
        <v>0</v>
      </c>
      <c r="L104" s="62">
        <v>0</v>
      </c>
      <c r="M104" s="108">
        <v>0</v>
      </c>
      <c r="N104" s="108">
        <v>0</v>
      </c>
    </row>
    <row r="105" spans="1:14" ht="12.75" customHeight="1" x14ac:dyDescent="0.35">
      <c r="A105" s="101" t="s">
        <v>352</v>
      </c>
      <c r="B105" s="102" t="s">
        <v>353</v>
      </c>
      <c r="C105" s="104">
        <v>33144702</v>
      </c>
      <c r="D105" s="106">
        <v>12353633000162</v>
      </c>
      <c r="E105" s="62">
        <v>0</v>
      </c>
      <c r="F105" s="125">
        <v>0</v>
      </c>
      <c r="G105" t="s">
        <v>731</v>
      </c>
      <c r="H105" s="107" t="s">
        <v>572</v>
      </c>
      <c r="I105" s="66">
        <v>249</v>
      </c>
      <c r="J105" s="124" t="s">
        <v>798</v>
      </c>
      <c r="K105" s="62">
        <v>0</v>
      </c>
      <c r="L105" s="62">
        <v>0</v>
      </c>
      <c r="M105" s="108">
        <v>0</v>
      </c>
      <c r="N105" s="108">
        <v>0</v>
      </c>
    </row>
    <row r="106" spans="1:14" ht="12.75" customHeight="1" x14ac:dyDescent="0.35">
      <c r="A106" s="99" t="s">
        <v>354</v>
      </c>
      <c r="B106" s="100" t="s">
        <v>355</v>
      </c>
      <c r="C106" s="103">
        <v>33147264</v>
      </c>
      <c r="D106" s="105">
        <v>12558016000101</v>
      </c>
      <c r="E106" s="62">
        <v>0</v>
      </c>
      <c r="F106" s="125">
        <v>0</v>
      </c>
      <c r="G106" t="s">
        <v>732</v>
      </c>
      <c r="H106" s="107" t="s">
        <v>573</v>
      </c>
      <c r="I106" s="66">
        <v>3111</v>
      </c>
      <c r="J106" s="124" t="s">
        <v>799</v>
      </c>
      <c r="K106" s="62">
        <v>0</v>
      </c>
      <c r="L106" s="62">
        <v>0</v>
      </c>
      <c r="M106" s="108">
        <v>0</v>
      </c>
      <c r="N106" s="108">
        <v>0</v>
      </c>
    </row>
    <row r="107" spans="1:14" ht="12.75" customHeight="1" x14ac:dyDescent="0.35">
      <c r="A107" s="101" t="s">
        <v>356</v>
      </c>
      <c r="B107" s="102" t="s">
        <v>357</v>
      </c>
      <c r="C107" s="104">
        <v>33096465</v>
      </c>
      <c r="D107" s="106">
        <v>12396418000149</v>
      </c>
      <c r="E107" s="62">
        <v>0</v>
      </c>
      <c r="F107" s="125">
        <v>0</v>
      </c>
      <c r="G107" t="s">
        <v>733</v>
      </c>
      <c r="H107" s="107" t="s">
        <v>574</v>
      </c>
      <c r="I107" s="66">
        <v>249</v>
      </c>
      <c r="J107" s="124">
        <v>549878</v>
      </c>
      <c r="K107" s="62">
        <v>0</v>
      </c>
      <c r="L107" s="62">
        <v>0</v>
      </c>
      <c r="M107" s="108">
        <v>0</v>
      </c>
      <c r="N107" s="108">
        <v>0</v>
      </c>
    </row>
    <row r="108" spans="1:14" ht="12.75" customHeight="1" x14ac:dyDescent="0.35">
      <c r="A108" s="99" t="s">
        <v>358</v>
      </c>
      <c r="B108" s="100" t="s">
        <v>359</v>
      </c>
      <c r="C108" s="103">
        <v>33095833</v>
      </c>
      <c r="D108" s="105">
        <v>12586443000195</v>
      </c>
      <c r="E108" s="62">
        <v>0</v>
      </c>
      <c r="F108" s="125">
        <v>0</v>
      </c>
      <c r="G108" t="s">
        <v>734</v>
      </c>
      <c r="H108" s="107" t="s">
        <v>575</v>
      </c>
      <c r="I108" s="66">
        <v>249</v>
      </c>
      <c r="J108" s="124">
        <v>555665</v>
      </c>
      <c r="K108" s="62">
        <v>0</v>
      </c>
      <c r="L108" s="62">
        <v>0</v>
      </c>
      <c r="M108" s="108">
        <v>0</v>
      </c>
      <c r="N108" s="108">
        <v>0</v>
      </c>
    </row>
    <row r="109" spans="1:14" ht="12.75" customHeight="1" x14ac:dyDescent="0.35">
      <c r="A109" s="101" t="s">
        <v>360</v>
      </c>
      <c r="B109" s="102" t="s">
        <v>361</v>
      </c>
      <c r="C109" s="104">
        <v>33095752</v>
      </c>
      <c r="D109" s="106">
        <v>12449488000118</v>
      </c>
      <c r="E109" s="62">
        <v>0</v>
      </c>
      <c r="F109" s="125">
        <v>0</v>
      </c>
      <c r="G109" t="s">
        <v>735</v>
      </c>
      <c r="H109" s="107" t="s">
        <v>576</v>
      </c>
      <c r="I109" s="66">
        <v>249</v>
      </c>
      <c r="J109" s="124">
        <v>549886</v>
      </c>
      <c r="K109" s="62">
        <v>0</v>
      </c>
      <c r="L109" s="62">
        <v>0</v>
      </c>
      <c r="M109" s="108">
        <v>0</v>
      </c>
      <c r="N109" s="108">
        <v>0</v>
      </c>
    </row>
    <row r="110" spans="1:14" ht="12.75" customHeight="1" x14ac:dyDescent="0.35">
      <c r="A110" s="99" t="s">
        <v>362</v>
      </c>
      <c r="B110" s="100" t="s">
        <v>363</v>
      </c>
      <c r="C110" s="103">
        <v>33122539</v>
      </c>
      <c r="D110" s="105">
        <v>23731402000161</v>
      </c>
      <c r="E110" s="62">
        <v>0</v>
      </c>
      <c r="F110" s="125">
        <v>0</v>
      </c>
      <c r="G110" t="s">
        <v>736</v>
      </c>
      <c r="H110" s="107" t="s">
        <v>577</v>
      </c>
      <c r="I110" s="66">
        <v>249</v>
      </c>
      <c r="J110" s="124">
        <v>550108</v>
      </c>
      <c r="K110" s="62">
        <v>0</v>
      </c>
      <c r="L110" s="62">
        <v>0</v>
      </c>
      <c r="M110" s="108">
        <v>0</v>
      </c>
      <c r="N110" s="108">
        <v>0</v>
      </c>
    </row>
    <row r="111" spans="1:14" ht="12.75" customHeight="1" x14ac:dyDescent="0.35">
      <c r="A111" s="101" t="s">
        <v>364</v>
      </c>
      <c r="B111" s="102" t="s">
        <v>365</v>
      </c>
      <c r="C111" s="104">
        <v>33167486</v>
      </c>
      <c r="D111" s="106">
        <v>20061862000131</v>
      </c>
      <c r="E111" s="62">
        <v>7.09</v>
      </c>
      <c r="F111" s="125">
        <v>0</v>
      </c>
      <c r="G111" t="s">
        <v>737</v>
      </c>
      <c r="H111" s="107" t="s">
        <v>578</v>
      </c>
      <c r="I111" s="66">
        <v>249</v>
      </c>
      <c r="J111" s="124">
        <v>549991</v>
      </c>
      <c r="K111" s="62">
        <v>0</v>
      </c>
      <c r="L111" s="62">
        <v>0</v>
      </c>
      <c r="M111" s="108">
        <v>0</v>
      </c>
      <c r="N111" s="108">
        <v>0</v>
      </c>
    </row>
    <row r="112" spans="1:14" ht="12.75" customHeight="1" x14ac:dyDescent="0.35">
      <c r="A112" s="99" t="s">
        <v>366</v>
      </c>
      <c r="B112" s="100" t="s">
        <v>367</v>
      </c>
      <c r="C112" s="103">
        <v>33160929</v>
      </c>
      <c r="D112" s="105">
        <v>17102964000143</v>
      </c>
      <c r="E112" s="62">
        <v>0</v>
      </c>
      <c r="F112" s="125">
        <v>0</v>
      </c>
      <c r="G112" t="s">
        <v>738</v>
      </c>
      <c r="H112" s="107" t="s">
        <v>579</v>
      </c>
      <c r="I112" s="66">
        <v>3111</v>
      </c>
      <c r="J112" s="124">
        <v>321192</v>
      </c>
      <c r="K112" s="62">
        <v>0</v>
      </c>
      <c r="L112" s="62">
        <v>0</v>
      </c>
      <c r="M112" s="108">
        <v>0</v>
      </c>
      <c r="N112" s="108">
        <v>0</v>
      </c>
    </row>
    <row r="113" spans="1:14" ht="12.75" customHeight="1" x14ac:dyDescent="0.35">
      <c r="A113" s="101" t="s">
        <v>368</v>
      </c>
      <c r="B113" s="102" t="s">
        <v>369</v>
      </c>
      <c r="C113" s="104">
        <v>33164118</v>
      </c>
      <c r="D113" s="106">
        <v>16838101000176</v>
      </c>
      <c r="E113" s="62">
        <v>153.5</v>
      </c>
      <c r="F113" s="125">
        <v>0</v>
      </c>
      <c r="G113" t="s">
        <v>739</v>
      </c>
      <c r="H113" s="107" t="s">
        <v>580</v>
      </c>
      <c r="I113" s="66">
        <v>249</v>
      </c>
      <c r="J113" s="124">
        <v>549924</v>
      </c>
      <c r="K113" s="62">
        <v>0</v>
      </c>
      <c r="L113" s="62">
        <v>0</v>
      </c>
      <c r="M113" s="108">
        <v>0</v>
      </c>
      <c r="N113" s="108">
        <v>0</v>
      </c>
    </row>
    <row r="114" spans="1:14" ht="12.75" customHeight="1" x14ac:dyDescent="0.35">
      <c r="A114" s="99" t="s">
        <v>370</v>
      </c>
      <c r="B114" s="100" t="s">
        <v>371</v>
      </c>
      <c r="C114" s="103">
        <v>33167885</v>
      </c>
      <c r="D114" s="105">
        <v>19725741000168</v>
      </c>
      <c r="E114" s="62">
        <v>0</v>
      </c>
      <c r="F114" s="125">
        <v>0</v>
      </c>
      <c r="G114" t="s">
        <v>740</v>
      </c>
      <c r="H114" s="107" t="s">
        <v>581</v>
      </c>
      <c r="I114" s="66">
        <v>249</v>
      </c>
      <c r="J114" s="124">
        <v>549975</v>
      </c>
      <c r="K114" s="62">
        <v>0</v>
      </c>
      <c r="L114" s="62">
        <v>0</v>
      </c>
      <c r="M114" s="108">
        <v>0</v>
      </c>
      <c r="N114" s="108">
        <v>0</v>
      </c>
    </row>
    <row r="115" spans="1:14" ht="12.75" customHeight="1" x14ac:dyDescent="0.35">
      <c r="A115" s="101" t="s">
        <v>372</v>
      </c>
      <c r="B115" s="102" t="s">
        <v>373</v>
      </c>
      <c r="C115" s="104">
        <v>33167362</v>
      </c>
      <c r="D115" s="106">
        <v>18329758000133</v>
      </c>
      <c r="E115" s="62">
        <v>0</v>
      </c>
      <c r="F115" s="125">
        <v>0</v>
      </c>
      <c r="G115" t="s">
        <v>741</v>
      </c>
      <c r="H115" s="107" t="s">
        <v>582</v>
      </c>
      <c r="I115" s="66">
        <v>265</v>
      </c>
      <c r="J115" s="124" t="s">
        <v>800</v>
      </c>
      <c r="K115" s="62">
        <v>0</v>
      </c>
      <c r="L115" s="62">
        <v>0</v>
      </c>
      <c r="M115" s="108">
        <v>0</v>
      </c>
      <c r="N115" s="108">
        <v>0</v>
      </c>
    </row>
    <row r="116" spans="1:14" ht="12.75" customHeight="1" x14ac:dyDescent="0.35">
      <c r="A116" s="99" t="s">
        <v>374</v>
      </c>
      <c r="B116" s="100" t="s">
        <v>375</v>
      </c>
      <c r="C116" s="103">
        <v>33167893</v>
      </c>
      <c r="D116" s="105">
        <v>21510074000148</v>
      </c>
      <c r="E116" s="62">
        <v>0</v>
      </c>
      <c r="F116" s="125">
        <v>0</v>
      </c>
      <c r="G116" t="s">
        <v>742</v>
      </c>
      <c r="H116" s="107" t="s">
        <v>583</v>
      </c>
      <c r="I116" s="66">
        <v>249</v>
      </c>
      <c r="J116" s="124">
        <v>550027</v>
      </c>
      <c r="K116" s="62">
        <v>0</v>
      </c>
      <c r="L116" s="62">
        <v>0</v>
      </c>
      <c r="M116" s="108">
        <v>0</v>
      </c>
      <c r="N116" s="108">
        <v>0</v>
      </c>
    </row>
    <row r="117" spans="1:14" ht="12.75" customHeight="1" x14ac:dyDescent="0.35">
      <c r="A117" s="101" t="s">
        <v>376</v>
      </c>
      <c r="B117" s="102" t="s">
        <v>377</v>
      </c>
      <c r="C117" s="104">
        <v>33170983</v>
      </c>
      <c r="D117" s="106">
        <v>22787794000118</v>
      </c>
      <c r="E117" s="62">
        <v>0</v>
      </c>
      <c r="F117" s="125">
        <v>0</v>
      </c>
      <c r="G117" t="s">
        <v>743</v>
      </c>
      <c r="H117" s="107" t="s">
        <v>584</v>
      </c>
      <c r="I117" s="66">
        <v>249</v>
      </c>
      <c r="J117" s="124">
        <v>550035</v>
      </c>
      <c r="K117" s="62">
        <v>0</v>
      </c>
      <c r="L117" s="62">
        <v>0</v>
      </c>
      <c r="M117" s="108">
        <v>0</v>
      </c>
      <c r="N117" s="108">
        <v>0</v>
      </c>
    </row>
    <row r="118" spans="1:14" ht="12.75" customHeight="1" x14ac:dyDescent="0.35">
      <c r="A118" s="99" t="s">
        <v>378</v>
      </c>
      <c r="B118" s="100" t="s">
        <v>379</v>
      </c>
      <c r="C118" s="103">
        <v>33176043</v>
      </c>
      <c r="D118" s="105">
        <v>28626726000153</v>
      </c>
      <c r="E118" s="62">
        <v>0</v>
      </c>
      <c r="F118" s="125">
        <v>0</v>
      </c>
      <c r="G118" t="s">
        <v>744</v>
      </c>
      <c r="H118" s="107" t="s">
        <v>585</v>
      </c>
      <c r="I118" s="66">
        <v>249</v>
      </c>
      <c r="J118" s="124">
        <v>550183</v>
      </c>
      <c r="K118" s="62">
        <v>0</v>
      </c>
      <c r="L118" s="62">
        <v>0</v>
      </c>
      <c r="M118" s="108">
        <v>0</v>
      </c>
      <c r="N118" s="108">
        <v>0</v>
      </c>
    </row>
    <row r="119" spans="1:14" ht="12.75" customHeight="1" x14ac:dyDescent="0.35">
      <c r="A119" s="101" t="s">
        <v>380</v>
      </c>
      <c r="B119" s="102" t="s">
        <v>381</v>
      </c>
      <c r="C119" s="104">
        <v>33175942</v>
      </c>
      <c r="D119" s="106">
        <v>28027038000177</v>
      </c>
      <c r="E119" s="62">
        <v>11.95</v>
      </c>
      <c r="F119" s="125">
        <v>0</v>
      </c>
      <c r="G119" t="s">
        <v>745</v>
      </c>
      <c r="H119" s="107" t="s">
        <v>586</v>
      </c>
      <c r="I119" s="66">
        <v>249</v>
      </c>
      <c r="J119" s="124">
        <v>550167</v>
      </c>
      <c r="K119" s="62">
        <v>0</v>
      </c>
      <c r="L119" s="62">
        <v>0</v>
      </c>
      <c r="M119" s="108">
        <v>0</v>
      </c>
      <c r="N119" s="108">
        <v>0</v>
      </c>
    </row>
    <row r="120" spans="1:14" ht="12.75" customHeight="1" x14ac:dyDescent="0.35">
      <c r="A120" s="99" t="s">
        <v>382</v>
      </c>
      <c r="B120" s="100" t="s">
        <v>383</v>
      </c>
      <c r="C120" s="103">
        <v>33179514</v>
      </c>
      <c r="D120" s="105">
        <v>31059011000170</v>
      </c>
      <c r="E120" s="62">
        <v>0</v>
      </c>
      <c r="F120" s="125">
        <v>0</v>
      </c>
      <c r="G120" t="s">
        <v>746</v>
      </c>
      <c r="H120" s="107" t="s">
        <v>587</v>
      </c>
      <c r="I120" s="66">
        <v>1254</v>
      </c>
      <c r="J120" s="124">
        <v>297585</v>
      </c>
      <c r="K120" s="62">
        <v>0</v>
      </c>
      <c r="L120" s="62">
        <v>0</v>
      </c>
      <c r="M120" s="108">
        <v>0</v>
      </c>
      <c r="N120" s="108">
        <v>0</v>
      </c>
    </row>
    <row r="121" spans="1:14" ht="12.75" customHeight="1" x14ac:dyDescent="0.35">
      <c r="A121" s="101" t="s">
        <v>384</v>
      </c>
      <c r="B121" s="102" t="s">
        <v>385</v>
      </c>
      <c r="C121" s="104">
        <v>33179573</v>
      </c>
      <c r="D121" s="106">
        <v>31538152000176</v>
      </c>
      <c r="E121" s="62">
        <v>0</v>
      </c>
      <c r="F121" s="125">
        <v>0</v>
      </c>
      <c r="G121" t="s">
        <v>747</v>
      </c>
      <c r="H121" s="107" t="s">
        <v>587</v>
      </c>
      <c r="I121" s="66">
        <v>1254</v>
      </c>
      <c r="J121" s="124">
        <v>294799</v>
      </c>
      <c r="K121" s="62">
        <v>0</v>
      </c>
      <c r="L121" s="62">
        <v>0</v>
      </c>
      <c r="M121" s="108">
        <v>0</v>
      </c>
      <c r="N121" s="108">
        <v>0</v>
      </c>
    </row>
    <row r="122" spans="1:14" ht="12.75" customHeight="1" x14ac:dyDescent="0.35">
      <c r="A122" s="99" t="s">
        <v>386</v>
      </c>
      <c r="B122" s="100" t="s">
        <v>387</v>
      </c>
      <c r="C122" s="103">
        <v>33179549</v>
      </c>
      <c r="D122" s="105">
        <v>31291413000104</v>
      </c>
      <c r="E122" s="62">
        <v>0</v>
      </c>
      <c r="F122" s="125">
        <v>0</v>
      </c>
      <c r="G122" t="s">
        <v>748</v>
      </c>
      <c r="H122" s="107" t="s">
        <v>587</v>
      </c>
      <c r="I122" s="66">
        <v>1254</v>
      </c>
      <c r="J122" s="124">
        <v>294268</v>
      </c>
      <c r="K122" s="62">
        <v>0</v>
      </c>
      <c r="L122" s="62">
        <v>0</v>
      </c>
      <c r="M122" s="108">
        <v>0</v>
      </c>
      <c r="N122" s="108">
        <v>0</v>
      </c>
    </row>
    <row r="123" spans="1:14" ht="12.75" customHeight="1" x14ac:dyDescent="0.35">
      <c r="A123" s="101" t="s">
        <v>388</v>
      </c>
      <c r="B123" s="102" t="s">
        <v>389</v>
      </c>
      <c r="C123" s="104">
        <v>33179581</v>
      </c>
      <c r="D123" s="106">
        <v>31471375000163</v>
      </c>
      <c r="E123" s="62">
        <v>0.44</v>
      </c>
      <c r="F123" s="125">
        <v>0</v>
      </c>
      <c r="G123" t="s">
        <v>749</v>
      </c>
      <c r="H123" s="107" t="s">
        <v>587</v>
      </c>
      <c r="I123" s="66">
        <v>1254</v>
      </c>
      <c r="J123" s="124">
        <v>297593</v>
      </c>
      <c r="K123" s="62">
        <v>0</v>
      </c>
      <c r="L123" s="62">
        <v>0</v>
      </c>
      <c r="M123" s="108">
        <v>0</v>
      </c>
      <c r="N123" s="108">
        <v>0</v>
      </c>
    </row>
    <row r="124" spans="1:14" ht="12.75" customHeight="1" x14ac:dyDescent="0.35">
      <c r="A124" s="99" t="s">
        <v>390</v>
      </c>
      <c r="B124" s="100" t="s">
        <v>391</v>
      </c>
      <c r="C124" s="103">
        <v>33069123</v>
      </c>
      <c r="D124" s="105">
        <v>1875458000157</v>
      </c>
      <c r="E124" s="62">
        <v>0</v>
      </c>
      <c r="F124" s="125">
        <v>0</v>
      </c>
      <c r="G124" t="s">
        <v>750</v>
      </c>
      <c r="H124" s="107" t="s">
        <v>588</v>
      </c>
      <c r="I124" s="66">
        <v>249</v>
      </c>
      <c r="J124" s="124">
        <v>549649</v>
      </c>
      <c r="K124" s="62">
        <v>0</v>
      </c>
      <c r="L124" s="62">
        <v>0</v>
      </c>
      <c r="M124" s="108">
        <v>0</v>
      </c>
      <c r="N124" s="108">
        <v>0</v>
      </c>
    </row>
    <row r="125" spans="1:14" ht="12.75" customHeight="1" x14ac:dyDescent="0.35">
      <c r="A125" s="101" t="s">
        <v>392</v>
      </c>
      <c r="B125" s="102" t="s">
        <v>393</v>
      </c>
      <c r="C125" s="104">
        <v>33179565</v>
      </c>
      <c r="D125" s="106">
        <v>31563583000192</v>
      </c>
      <c r="E125" s="62">
        <v>0</v>
      </c>
      <c r="F125" s="125">
        <v>0</v>
      </c>
      <c r="G125" t="s">
        <v>751</v>
      </c>
      <c r="H125" s="107" t="s">
        <v>581</v>
      </c>
      <c r="I125" s="66">
        <v>1254</v>
      </c>
      <c r="J125" s="124">
        <v>297615</v>
      </c>
      <c r="K125" s="62">
        <v>0</v>
      </c>
      <c r="L125" s="62">
        <v>0</v>
      </c>
      <c r="M125" s="108">
        <v>0</v>
      </c>
      <c r="N125" s="108">
        <v>0</v>
      </c>
    </row>
    <row r="126" spans="1:14" ht="12.75" customHeight="1" x14ac:dyDescent="0.35">
      <c r="A126" s="99" t="s">
        <v>394</v>
      </c>
      <c r="B126" s="100" t="s">
        <v>395</v>
      </c>
      <c r="C126" s="103">
        <v>33122776</v>
      </c>
      <c r="D126" s="105">
        <v>12743515000160</v>
      </c>
      <c r="E126" s="62">
        <v>0</v>
      </c>
      <c r="F126" s="125">
        <v>0</v>
      </c>
      <c r="G126" t="s">
        <v>752</v>
      </c>
      <c r="H126" s="107" t="s">
        <v>589</v>
      </c>
      <c r="I126" s="66">
        <v>3111</v>
      </c>
      <c r="J126" s="124">
        <v>321168</v>
      </c>
      <c r="K126" s="62">
        <v>0</v>
      </c>
      <c r="L126" s="62">
        <v>0</v>
      </c>
      <c r="M126" s="108">
        <v>0</v>
      </c>
      <c r="N126" s="108">
        <v>0</v>
      </c>
    </row>
    <row r="127" spans="1:14" ht="12.75" customHeight="1" x14ac:dyDescent="0.35">
      <c r="A127" s="101" t="s">
        <v>396</v>
      </c>
      <c r="B127" s="102" t="s">
        <v>397</v>
      </c>
      <c r="C127" s="104">
        <v>33070440</v>
      </c>
      <c r="D127" s="106">
        <v>3056773000188</v>
      </c>
      <c r="E127" s="62">
        <v>0</v>
      </c>
      <c r="F127" s="125">
        <v>0</v>
      </c>
      <c r="G127" t="s">
        <v>753</v>
      </c>
      <c r="H127" s="107" t="s">
        <v>590</v>
      </c>
      <c r="I127" s="66">
        <v>497</v>
      </c>
      <c r="J127" s="124">
        <v>399760</v>
      </c>
      <c r="K127" s="62">
        <v>0</v>
      </c>
      <c r="L127" s="62">
        <v>0</v>
      </c>
      <c r="M127" s="108">
        <v>0</v>
      </c>
      <c r="N127" s="108">
        <v>0</v>
      </c>
    </row>
    <row r="128" spans="1:14" ht="12.75" customHeight="1" x14ac:dyDescent="0.35">
      <c r="A128" s="99" t="s">
        <v>398</v>
      </c>
      <c r="B128" s="100" t="s">
        <v>399</v>
      </c>
      <c r="C128" s="103">
        <v>33070539</v>
      </c>
      <c r="D128" s="105">
        <v>1878401000101</v>
      </c>
      <c r="E128" s="62">
        <v>119.08</v>
      </c>
      <c r="F128" s="125">
        <v>53.16</v>
      </c>
      <c r="G128" t="s">
        <v>754</v>
      </c>
      <c r="H128" s="107" t="s">
        <v>591</v>
      </c>
      <c r="I128" s="66">
        <v>497</v>
      </c>
      <c r="J128" s="124">
        <v>22942</v>
      </c>
      <c r="K128" s="62">
        <v>0</v>
      </c>
      <c r="L128" s="62">
        <v>0</v>
      </c>
      <c r="M128" s="108">
        <v>0</v>
      </c>
      <c r="N128" s="108">
        <v>0</v>
      </c>
    </row>
    <row r="129" spans="1:14" ht="12.75" customHeight="1" x14ac:dyDescent="0.35">
      <c r="A129" s="101" t="s">
        <v>400</v>
      </c>
      <c r="B129" s="102" t="s">
        <v>401</v>
      </c>
      <c r="C129" s="104">
        <v>33070687</v>
      </c>
      <c r="D129" s="106">
        <v>2347032000193</v>
      </c>
      <c r="E129" s="62">
        <v>1.99</v>
      </c>
      <c r="F129" s="125">
        <v>0</v>
      </c>
      <c r="G129" t="s">
        <v>755</v>
      </c>
      <c r="H129" s="107" t="s">
        <v>592</v>
      </c>
      <c r="I129" s="66">
        <v>497</v>
      </c>
      <c r="J129" s="124">
        <v>22969</v>
      </c>
      <c r="K129" s="62">
        <v>0</v>
      </c>
      <c r="L129" s="62">
        <v>0</v>
      </c>
      <c r="M129" s="108">
        <v>0</v>
      </c>
      <c r="N129" s="108">
        <v>0</v>
      </c>
    </row>
    <row r="130" spans="1:14" ht="12.75" customHeight="1" x14ac:dyDescent="0.35">
      <c r="A130" s="99" t="s">
        <v>402</v>
      </c>
      <c r="B130" s="100" t="s">
        <v>403</v>
      </c>
      <c r="C130" s="103">
        <v>33070393</v>
      </c>
      <c r="D130" s="105">
        <v>1275362000158</v>
      </c>
      <c r="E130" s="62">
        <v>0</v>
      </c>
      <c r="F130" s="125">
        <v>0</v>
      </c>
      <c r="G130" t="s">
        <v>756</v>
      </c>
      <c r="H130" s="107" t="s">
        <v>593</v>
      </c>
      <c r="I130" s="66">
        <v>497</v>
      </c>
      <c r="J130" s="124">
        <v>22845</v>
      </c>
      <c r="K130" s="62">
        <v>0</v>
      </c>
      <c r="L130" s="62">
        <v>0</v>
      </c>
      <c r="M130" s="108">
        <v>0</v>
      </c>
      <c r="N130" s="108">
        <v>0</v>
      </c>
    </row>
    <row r="131" spans="1:14" ht="12.75" customHeight="1" x14ac:dyDescent="0.35">
      <c r="A131" s="101" t="s">
        <v>404</v>
      </c>
      <c r="B131" s="102" t="s">
        <v>405</v>
      </c>
      <c r="C131" s="104">
        <v>33070857</v>
      </c>
      <c r="D131" s="106">
        <v>2690400000100</v>
      </c>
      <c r="E131" s="62">
        <v>0</v>
      </c>
      <c r="F131" s="125">
        <v>0</v>
      </c>
      <c r="G131" t="s">
        <v>757</v>
      </c>
      <c r="H131" s="107" t="s">
        <v>594</v>
      </c>
      <c r="I131" s="66">
        <v>497</v>
      </c>
      <c r="J131" s="124">
        <v>24007</v>
      </c>
      <c r="K131" s="62">
        <v>0</v>
      </c>
      <c r="L131" s="62">
        <v>0</v>
      </c>
      <c r="M131" s="108">
        <v>0</v>
      </c>
      <c r="N131" s="108">
        <v>0</v>
      </c>
    </row>
    <row r="132" spans="1:14" ht="12.75" customHeight="1" x14ac:dyDescent="0.35">
      <c r="A132" s="99" t="s">
        <v>406</v>
      </c>
      <c r="B132" s="100" t="s">
        <v>407</v>
      </c>
      <c r="C132" s="103">
        <v>33070555</v>
      </c>
      <c r="D132" s="105">
        <v>1509987000137</v>
      </c>
      <c r="E132" s="62">
        <v>0</v>
      </c>
      <c r="F132" s="125">
        <v>0</v>
      </c>
      <c r="G132" t="s">
        <v>758</v>
      </c>
      <c r="H132" s="107" t="s">
        <v>595</v>
      </c>
      <c r="I132" s="66">
        <v>497</v>
      </c>
      <c r="J132" s="124">
        <v>22888</v>
      </c>
      <c r="K132" s="62">
        <v>0</v>
      </c>
      <c r="L132" s="62">
        <v>0</v>
      </c>
      <c r="M132" s="108">
        <v>0</v>
      </c>
      <c r="N132" s="108">
        <v>0</v>
      </c>
    </row>
    <row r="133" spans="1:14" ht="12.75" customHeight="1" x14ac:dyDescent="0.35">
      <c r="A133" s="101" t="s">
        <v>408</v>
      </c>
      <c r="B133" s="102" t="s">
        <v>409</v>
      </c>
      <c r="C133" s="104">
        <v>33070741</v>
      </c>
      <c r="D133" s="106">
        <v>1211046000112</v>
      </c>
      <c r="E133" s="62">
        <v>0</v>
      </c>
      <c r="F133" s="125">
        <v>0</v>
      </c>
      <c r="G133" t="s">
        <v>759</v>
      </c>
      <c r="H133" s="107" t="s">
        <v>596</v>
      </c>
      <c r="I133" s="66">
        <v>497</v>
      </c>
      <c r="J133" s="124">
        <v>23965</v>
      </c>
      <c r="K133" s="62">
        <v>0</v>
      </c>
      <c r="L133" s="62">
        <v>0</v>
      </c>
      <c r="M133" s="108">
        <v>0</v>
      </c>
      <c r="N133" s="108">
        <v>0</v>
      </c>
    </row>
    <row r="134" spans="1:14" ht="12.75" customHeight="1" x14ac:dyDescent="0.35">
      <c r="A134" s="99" t="s">
        <v>410</v>
      </c>
      <c r="B134" s="100" t="s">
        <v>411</v>
      </c>
      <c r="C134" s="103">
        <v>33070849</v>
      </c>
      <c r="D134" s="105">
        <v>1529826000105</v>
      </c>
      <c r="E134" s="62">
        <v>0</v>
      </c>
      <c r="F134" s="125">
        <v>0</v>
      </c>
      <c r="G134" t="s">
        <v>760</v>
      </c>
      <c r="H134" s="107" t="s">
        <v>597</v>
      </c>
      <c r="I134" s="66">
        <v>2914</v>
      </c>
      <c r="J134" s="124">
        <v>8575</v>
      </c>
      <c r="K134" s="62">
        <v>0</v>
      </c>
      <c r="L134" s="62">
        <v>0</v>
      </c>
      <c r="M134" s="108">
        <v>0</v>
      </c>
      <c r="N134" s="108">
        <v>0</v>
      </c>
    </row>
    <row r="135" spans="1:14" ht="12.75" customHeight="1" x14ac:dyDescent="0.35">
      <c r="A135" s="101" t="s">
        <v>412</v>
      </c>
      <c r="B135" s="102" t="s">
        <v>413</v>
      </c>
      <c r="C135" s="104">
        <v>33070431</v>
      </c>
      <c r="D135" s="106">
        <v>1268540000113</v>
      </c>
      <c r="E135" s="62">
        <v>0</v>
      </c>
      <c r="F135" s="125">
        <v>0</v>
      </c>
      <c r="G135" t="s">
        <v>761</v>
      </c>
      <c r="H135" s="107" t="s">
        <v>598</v>
      </c>
      <c r="I135" s="66">
        <v>2914</v>
      </c>
      <c r="J135" s="124">
        <v>8567</v>
      </c>
      <c r="K135" s="62">
        <v>0</v>
      </c>
      <c r="L135" s="62">
        <v>0</v>
      </c>
      <c r="M135" s="108">
        <v>0</v>
      </c>
      <c r="N135" s="108">
        <v>0</v>
      </c>
    </row>
    <row r="136" spans="1:14" ht="12.75" customHeight="1" x14ac:dyDescent="0.35">
      <c r="A136" s="99" t="s">
        <v>414</v>
      </c>
      <c r="B136" s="100" t="s">
        <v>415</v>
      </c>
      <c r="C136" s="103">
        <v>33070822</v>
      </c>
      <c r="D136" s="105">
        <v>1956704000103</v>
      </c>
      <c r="E136" s="62">
        <v>0</v>
      </c>
      <c r="F136" s="125">
        <v>0</v>
      </c>
      <c r="G136" t="s">
        <v>762</v>
      </c>
      <c r="H136" s="107" t="s">
        <v>599</v>
      </c>
      <c r="I136" s="66">
        <v>2914</v>
      </c>
      <c r="J136" s="124">
        <v>8591</v>
      </c>
      <c r="K136" s="62">
        <v>0</v>
      </c>
      <c r="L136" s="62">
        <v>0</v>
      </c>
      <c r="M136" s="108">
        <v>0</v>
      </c>
      <c r="N136" s="108">
        <v>0</v>
      </c>
    </row>
    <row r="137" spans="1:14" ht="12.75" customHeight="1" x14ac:dyDescent="0.35">
      <c r="A137" s="101" t="s">
        <v>416</v>
      </c>
      <c r="B137" s="102" t="s">
        <v>417</v>
      </c>
      <c r="C137" s="104">
        <v>33070733</v>
      </c>
      <c r="D137" s="106">
        <v>1187790000129</v>
      </c>
      <c r="E137" s="62">
        <v>0</v>
      </c>
      <c r="F137" s="125">
        <v>0</v>
      </c>
      <c r="G137" t="s">
        <v>763</v>
      </c>
      <c r="H137" s="107" t="s">
        <v>600</v>
      </c>
      <c r="I137" s="66">
        <v>497</v>
      </c>
      <c r="J137" s="124">
        <v>22764</v>
      </c>
      <c r="K137" s="62">
        <v>0</v>
      </c>
      <c r="L137" s="62">
        <v>0</v>
      </c>
      <c r="M137" s="108">
        <v>0</v>
      </c>
      <c r="N137" s="108">
        <v>0</v>
      </c>
    </row>
    <row r="138" spans="1:14" ht="12.75" customHeight="1" x14ac:dyDescent="0.35">
      <c r="A138" s="99" t="s">
        <v>418</v>
      </c>
      <c r="B138" s="100" t="s">
        <v>419</v>
      </c>
      <c r="C138" s="103">
        <v>33070695</v>
      </c>
      <c r="D138" s="105">
        <v>5392564000130</v>
      </c>
      <c r="E138" s="62">
        <v>0</v>
      </c>
      <c r="F138" s="125">
        <v>1.8189894035458565E-12</v>
      </c>
      <c r="G138" t="s">
        <v>764</v>
      </c>
      <c r="H138" s="107" t="s">
        <v>601</v>
      </c>
      <c r="I138" s="66">
        <v>249</v>
      </c>
      <c r="J138" s="124">
        <v>562904</v>
      </c>
      <c r="K138" s="62">
        <v>0</v>
      </c>
      <c r="L138" s="62">
        <v>0</v>
      </c>
      <c r="M138" s="108">
        <v>0</v>
      </c>
      <c r="N138" s="108">
        <v>0</v>
      </c>
    </row>
    <row r="139" spans="1:14" ht="12.75" customHeight="1" x14ac:dyDescent="0.35">
      <c r="A139" s="101" t="s">
        <v>420</v>
      </c>
      <c r="B139" s="102" t="s">
        <v>421</v>
      </c>
      <c r="C139" s="104">
        <v>33070652</v>
      </c>
      <c r="D139" s="106">
        <v>1187789000102</v>
      </c>
      <c r="E139" s="62">
        <v>0</v>
      </c>
      <c r="F139" s="125">
        <v>0</v>
      </c>
      <c r="G139" t="s">
        <v>765</v>
      </c>
      <c r="H139" s="107" t="s">
        <v>602</v>
      </c>
      <c r="I139" s="66">
        <v>3189</v>
      </c>
      <c r="J139" s="124">
        <v>24600</v>
      </c>
      <c r="K139" s="62">
        <v>0</v>
      </c>
      <c r="L139" s="62">
        <v>0</v>
      </c>
      <c r="M139" s="108">
        <v>0</v>
      </c>
      <c r="N139" s="108">
        <v>0</v>
      </c>
    </row>
    <row r="140" spans="1:14" ht="12.75" customHeight="1" x14ac:dyDescent="0.35">
      <c r="A140" s="99" t="s">
        <v>422</v>
      </c>
      <c r="B140" s="100" t="s">
        <v>423</v>
      </c>
      <c r="C140" s="103">
        <v>33070474</v>
      </c>
      <c r="D140" s="105">
        <v>2849204000127</v>
      </c>
      <c r="E140" s="62">
        <v>0</v>
      </c>
      <c r="F140" s="125">
        <v>0</v>
      </c>
      <c r="G140" t="s">
        <v>766</v>
      </c>
      <c r="H140" s="107" t="s">
        <v>603</v>
      </c>
      <c r="I140" s="66">
        <v>497</v>
      </c>
      <c r="J140" s="124">
        <v>26220</v>
      </c>
      <c r="K140" s="62">
        <v>0</v>
      </c>
      <c r="L140" s="62">
        <v>0</v>
      </c>
      <c r="M140" s="108">
        <v>0</v>
      </c>
      <c r="N140" s="108">
        <v>0</v>
      </c>
    </row>
    <row r="141" spans="1:14" ht="12.75" customHeight="1" x14ac:dyDescent="0.35">
      <c r="A141" s="101" t="s">
        <v>424</v>
      </c>
      <c r="B141" s="102" t="s">
        <v>425</v>
      </c>
      <c r="C141" s="104">
        <v>33070490</v>
      </c>
      <c r="D141" s="106">
        <v>2998816000181</v>
      </c>
      <c r="E141" s="62">
        <v>0</v>
      </c>
      <c r="F141" s="125">
        <v>0</v>
      </c>
      <c r="G141" t="s">
        <v>767</v>
      </c>
      <c r="H141" s="107" t="s">
        <v>604</v>
      </c>
      <c r="I141" s="66">
        <v>3189</v>
      </c>
      <c r="J141" s="124">
        <v>26336</v>
      </c>
      <c r="K141" s="62">
        <v>0</v>
      </c>
      <c r="L141" s="62">
        <v>0</v>
      </c>
      <c r="M141" s="108">
        <v>0</v>
      </c>
      <c r="N141" s="108">
        <v>0</v>
      </c>
    </row>
    <row r="142" spans="1:14" ht="12.75" customHeight="1" x14ac:dyDescent="0.35">
      <c r="A142" s="99" t="s">
        <v>426</v>
      </c>
      <c r="B142" s="100" t="s">
        <v>427</v>
      </c>
      <c r="C142" s="103">
        <v>33070830</v>
      </c>
      <c r="D142" s="105">
        <v>1213617000158</v>
      </c>
      <c r="E142" s="62">
        <v>0</v>
      </c>
      <c r="F142" s="125">
        <v>0</v>
      </c>
      <c r="G142" t="s">
        <v>768</v>
      </c>
      <c r="H142" s="107" t="s">
        <v>605</v>
      </c>
      <c r="I142" s="66">
        <v>497</v>
      </c>
      <c r="J142" s="124">
        <v>22799</v>
      </c>
      <c r="K142" s="62">
        <v>0</v>
      </c>
      <c r="L142" s="62">
        <v>0</v>
      </c>
      <c r="M142" s="108">
        <v>0</v>
      </c>
      <c r="N142" s="108">
        <v>0</v>
      </c>
    </row>
    <row r="143" spans="1:14" ht="12.75" customHeight="1" x14ac:dyDescent="0.35">
      <c r="A143" s="101" t="s">
        <v>428</v>
      </c>
      <c r="B143" s="102" t="s">
        <v>429</v>
      </c>
      <c r="C143" s="104">
        <v>33070644</v>
      </c>
      <c r="D143" s="106">
        <v>1859807000147</v>
      </c>
      <c r="E143" s="62">
        <v>0</v>
      </c>
      <c r="F143" s="125">
        <v>0</v>
      </c>
      <c r="G143" t="s">
        <v>769</v>
      </c>
      <c r="H143" s="107" t="s">
        <v>606</v>
      </c>
      <c r="I143" s="66">
        <v>3189</v>
      </c>
      <c r="J143" s="124">
        <v>24732</v>
      </c>
      <c r="K143" s="62">
        <v>0</v>
      </c>
      <c r="L143" s="62">
        <v>0</v>
      </c>
      <c r="M143" s="108">
        <v>0</v>
      </c>
      <c r="N143" s="108">
        <v>0</v>
      </c>
    </row>
    <row r="144" spans="1:14" ht="12.75" customHeight="1" x14ac:dyDescent="0.35">
      <c r="A144" s="99" t="s">
        <v>430</v>
      </c>
      <c r="B144" s="100" t="s">
        <v>431</v>
      </c>
      <c r="C144" s="103">
        <v>33070601</v>
      </c>
      <c r="D144" s="105">
        <v>4494649000167</v>
      </c>
      <c r="E144" s="62">
        <v>0</v>
      </c>
      <c r="F144" s="125">
        <v>0</v>
      </c>
      <c r="G144" t="s">
        <v>770</v>
      </c>
      <c r="H144" s="107" t="s">
        <v>607</v>
      </c>
      <c r="I144" s="66">
        <v>249</v>
      </c>
      <c r="J144" s="124">
        <v>562874</v>
      </c>
      <c r="K144" s="62">
        <v>0</v>
      </c>
      <c r="L144" s="62">
        <v>0</v>
      </c>
      <c r="M144" s="108">
        <v>0</v>
      </c>
      <c r="N144" s="108">
        <v>0</v>
      </c>
    </row>
    <row r="145" spans="1:14" ht="12.75" customHeight="1" x14ac:dyDescent="0.35">
      <c r="A145" s="101" t="s">
        <v>432</v>
      </c>
      <c r="B145" s="102" t="s">
        <v>433</v>
      </c>
      <c r="C145" s="104">
        <v>33070563</v>
      </c>
      <c r="D145" s="106">
        <v>1878402000156</v>
      </c>
      <c r="E145" s="62">
        <v>0</v>
      </c>
      <c r="F145" s="125">
        <v>0</v>
      </c>
      <c r="G145" t="s">
        <v>771</v>
      </c>
      <c r="H145" s="107" t="s">
        <v>608</v>
      </c>
      <c r="I145" s="66">
        <v>3189</v>
      </c>
      <c r="J145" s="124">
        <v>24740</v>
      </c>
      <c r="K145" s="62">
        <v>0</v>
      </c>
      <c r="L145" s="62">
        <v>0</v>
      </c>
      <c r="M145" s="108">
        <v>0</v>
      </c>
      <c r="N145" s="108">
        <v>0</v>
      </c>
    </row>
    <row r="146" spans="1:14" ht="12.75" customHeight="1" x14ac:dyDescent="0.35">
      <c r="A146" s="99" t="s">
        <v>434</v>
      </c>
      <c r="B146" s="100" t="s">
        <v>435</v>
      </c>
      <c r="C146" s="103">
        <v>33070776</v>
      </c>
      <c r="D146" s="105">
        <v>3016915000183</v>
      </c>
      <c r="E146" s="62">
        <v>0</v>
      </c>
      <c r="F146" s="125">
        <v>0</v>
      </c>
      <c r="G146" t="s">
        <v>772</v>
      </c>
      <c r="H146" s="107" t="s">
        <v>609</v>
      </c>
      <c r="I146" s="66">
        <v>249</v>
      </c>
      <c r="J146" s="124">
        <v>562823</v>
      </c>
      <c r="K146" s="62">
        <v>0</v>
      </c>
      <c r="L146" s="62">
        <v>0</v>
      </c>
      <c r="M146" s="108">
        <v>0</v>
      </c>
      <c r="N146" s="108">
        <v>0</v>
      </c>
    </row>
    <row r="147" spans="1:14" ht="12.75" customHeight="1" x14ac:dyDescent="0.35">
      <c r="A147" s="101" t="s">
        <v>436</v>
      </c>
      <c r="B147" s="102" t="s">
        <v>437</v>
      </c>
      <c r="C147" s="104">
        <v>33070415</v>
      </c>
      <c r="D147" s="106">
        <v>1959159000109</v>
      </c>
      <c r="E147" s="62">
        <v>0</v>
      </c>
      <c r="F147" s="125">
        <v>0</v>
      </c>
      <c r="G147" t="s">
        <v>773</v>
      </c>
      <c r="H147" s="107" t="s">
        <v>610</v>
      </c>
      <c r="I147" s="66">
        <v>3189</v>
      </c>
      <c r="J147" s="124">
        <v>34142</v>
      </c>
      <c r="K147" s="62">
        <v>0</v>
      </c>
      <c r="L147" s="62">
        <v>0</v>
      </c>
      <c r="M147" s="108">
        <v>0</v>
      </c>
      <c r="N147" s="108">
        <v>0</v>
      </c>
    </row>
    <row r="148" spans="1:14" ht="12.75" customHeight="1" x14ac:dyDescent="0.35">
      <c r="A148" s="99" t="s">
        <v>438</v>
      </c>
      <c r="B148" s="100" t="s">
        <v>439</v>
      </c>
      <c r="C148" s="103">
        <v>33070610</v>
      </c>
      <c r="D148" s="105">
        <v>2293014000176</v>
      </c>
      <c r="E148" s="62">
        <v>1.71</v>
      </c>
      <c r="F148" s="125">
        <v>0</v>
      </c>
      <c r="G148" t="s">
        <v>774</v>
      </c>
      <c r="H148" s="107" t="s">
        <v>611</v>
      </c>
      <c r="I148" s="66">
        <v>249</v>
      </c>
      <c r="J148" s="124">
        <v>562815</v>
      </c>
      <c r="K148" s="62">
        <v>0</v>
      </c>
      <c r="L148" s="62">
        <v>0</v>
      </c>
      <c r="M148" s="108">
        <v>0</v>
      </c>
      <c r="N148" s="108">
        <v>0</v>
      </c>
    </row>
    <row r="149" spans="1:14" ht="12.75" customHeight="1" x14ac:dyDescent="0.35">
      <c r="A149" s="101" t="s">
        <v>440</v>
      </c>
      <c r="B149" s="102" t="s">
        <v>441</v>
      </c>
      <c r="C149" s="104">
        <v>33070890</v>
      </c>
      <c r="D149" s="106">
        <v>3827454000129</v>
      </c>
      <c r="E149" s="62">
        <v>0</v>
      </c>
      <c r="F149" s="125">
        <v>0</v>
      </c>
      <c r="G149" t="s">
        <v>775</v>
      </c>
      <c r="H149" s="107" t="s">
        <v>612</v>
      </c>
      <c r="I149" s="66">
        <v>3189</v>
      </c>
      <c r="J149" s="124">
        <v>24791</v>
      </c>
      <c r="K149" s="62">
        <v>0</v>
      </c>
      <c r="L149" s="62">
        <v>0</v>
      </c>
      <c r="M149" s="108">
        <v>0</v>
      </c>
      <c r="N149" s="108">
        <v>0</v>
      </c>
    </row>
    <row r="150" spans="1:14" ht="12.75" customHeight="1" x14ac:dyDescent="0.35">
      <c r="A150" s="99" t="s">
        <v>442</v>
      </c>
      <c r="B150" s="100" t="s">
        <v>443</v>
      </c>
      <c r="C150" s="103">
        <v>33069824</v>
      </c>
      <c r="D150" s="105">
        <v>1878626000168</v>
      </c>
      <c r="E150" s="62">
        <v>0</v>
      </c>
      <c r="F150" s="125">
        <v>0</v>
      </c>
      <c r="G150" t="s">
        <v>776</v>
      </c>
      <c r="H150" s="107" t="s">
        <v>613</v>
      </c>
      <c r="I150" s="66">
        <v>249</v>
      </c>
      <c r="J150" s="124">
        <v>571016</v>
      </c>
      <c r="K150" s="62">
        <v>0</v>
      </c>
      <c r="L150" s="62">
        <v>0</v>
      </c>
      <c r="M150" s="108">
        <v>0</v>
      </c>
      <c r="N150" s="108">
        <v>0</v>
      </c>
    </row>
    <row r="151" spans="1:14" ht="12.75" customHeight="1" x14ac:dyDescent="0.35">
      <c r="A151" s="101" t="s">
        <v>444</v>
      </c>
      <c r="B151" s="102" t="s">
        <v>445</v>
      </c>
      <c r="C151" s="104">
        <v>33073988</v>
      </c>
      <c r="D151" s="106">
        <v>1124831000138</v>
      </c>
      <c r="E151" s="62">
        <v>6.82</v>
      </c>
      <c r="F151" s="125">
        <v>0</v>
      </c>
      <c r="G151" t="s">
        <v>777</v>
      </c>
      <c r="H151" s="107" t="s">
        <v>614</v>
      </c>
      <c r="I151" s="66">
        <v>497</v>
      </c>
      <c r="J151" s="124">
        <v>22721</v>
      </c>
      <c r="K151" s="62">
        <v>0</v>
      </c>
      <c r="L151" s="62">
        <v>0</v>
      </c>
      <c r="M151" s="108">
        <v>0</v>
      </c>
      <c r="N151" s="108">
        <v>0</v>
      </c>
    </row>
    <row r="152" spans="1:14" ht="12.75" customHeight="1" x14ac:dyDescent="0.35">
      <c r="A152" s="99" t="s">
        <v>446</v>
      </c>
      <c r="B152" s="100" t="s">
        <v>447</v>
      </c>
      <c r="C152" s="103">
        <v>33144699</v>
      </c>
      <c r="D152" s="105">
        <v>12329092000137</v>
      </c>
      <c r="E152" s="62">
        <v>0</v>
      </c>
      <c r="F152" s="125">
        <v>0</v>
      </c>
      <c r="G152" t="s">
        <v>778</v>
      </c>
      <c r="H152" s="107" t="s">
        <v>615</v>
      </c>
      <c r="I152" s="66">
        <v>249</v>
      </c>
      <c r="J152" s="124">
        <v>562947</v>
      </c>
      <c r="K152" s="62">
        <v>0</v>
      </c>
      <c r="L152" s="62">
        <v>0</v>
      </c>
      <c r="M152" s="108">
        <v>0</v>
      </c>
      <c r="N152" s="108">
        <v>0</v>
      </c>
    </row>
    <row r="153" spans="1:14" ht="12.75" customHeight="1" x14ac:dyDescent="0.35">
      <c r="A153" s="101" t="s">
        <v>448</v>
      </c>
      <c r="B153" s="102" t="s">
        <v>449</v>
      </c>
      <c r="C153" s="104">
        <v>33137331</v>
      </c>
      <c r="D153" s="106">
        <v>12582479000109</v>
      </c>
      <c r="E153" s="62">
        <v>1.38</v>
      </c>
      <c r="F153" s="125">
        <v>0.56000000000000005</v>
      </c>
      <c r="G153" t="s">
        <v>779</v>
      </c>
      <c r="H153" s="107" t="s">
        <v>616</v>
      </c>
      <c r="I153" s="66">
        <v>497</v>
      </c>
      <c r="J153" s="124">
        <v>23043</v>
      </c>
      <c r="K153" s="62">
        <v>0</v>
      </c>
      <c r="L153" s="62">
        <v>0</v>
      </c>
      <c r="M153" s="108">
        <v>0</v>
      </c>
      <c r="N153" s="108">
        <v>0</v>
      </c>
    </row>
    <row r="154" spans="1:14" ht="12.75" customHeight="1" x14ac:dyDescent="0.35">
      <c r="A154" s="99" t="s">
        <v>450</v>
      </c>
      <c r="B154" s="100" t="s">
        <v>451</v>
      </c>
      <c r="C154" s="103">
        <v>33096503</v>
      </c>
      <c r="D154" s="105">
        <v>12493499000103</v>
      </c>
      <c r="E154" s="62">
        <v>0</v>
      </c>
      <c r="F154" s="125">
        <v>0</v>
      </c>
      <c r="G154" t="s">
        <v>780</v>
      </c>
      <c r="H154" s="107" t="s">
        <v>617</v>
      </c>
      <c r="I154" s="66">
        <v>249</v>
      </c>
      <c r="J154" s="124" t="s">
        <v>801</v>
      </c>
      <c r="K154" s="62">
        <v>0</v>
      </c>
      <c r="L154" s="62">
        <v>0</v>
      </c>
      <c r="M154" s="108">
        <v>0</v>
      </c>
      <c r="N154" s="108">
        <v>0</v>
      </c>
    </row>
    <row r="155" spans="1:14" ht="12.75" customHeight="1" x14ac:dyDescent="0.35">
      <c r="A155" s="101" t="s">
        <v>452</v>
      </c>
      <c r="B155" s="102" t="s">
        <v>453</v>
      </c>
      <c r="C155" s="104">
        <v>33096546</v>
      </c>
      <c r="D155" s="106">
        <v>12470388000173</v>
      </c>
      <c r="E155" s="62">
        <v>12.11</v>
      </c>
      <c r="F155" s="125">
        <v>0</v>
      </c>
      <c r="G155" t="s">
        <v>781</v>
      </c>
      <c r="H155" s="107" t="s">
        <v>618</v>
      </c>
      <c r="I155" s="66">
        <v>3189</v>
      </c>
      <c r="J155" s="124">
        <v>34460</v>
      </c>
      <c r="K155" s="62">
        <v>0</v>
      </c>
      <c r="L155" s="62">
        <v>0</v>
      </c>
      <c r="M155" s="108">
        <v>0</v>
      </c>
      <c r="N155" s="108">
        <v>0</v>
      </c>
    </row>
    <row r="156" spans="1:14" ht="12.75" customHeight="1" x14ac:dyDescent="0.35">
      <c r="A156" s="99" t="s">
        <v>454</v>
      </c>
      <c r="B156" s="100" t="s">
        <v>455</v>
      </c>
      <c r="C156" s="103">
        <v>33096520</v>
      </c>
      <c r="D156" s="105">
        <v>12649139000140</v>
      </c>
      <c r="E156" s="62">
        <v>0</v>
      </c>
      <c r="F156" s="125">
        <v>0</v>
      </c>
      <c r="G156" t="s">
        <v>782</v>
      </c>
      <c r="H156" s="107" t="s">
        <v>619</v>
      </c>
      <c r="I156" s="66">
        <v>3189</v>
      </c>
      <c r="J156" s="124">
        <v>34193</v>
      </c>
      <c r="K156" s="62">
        <v>0</v>
      </c>
      <c r="L156" s="62">
        <v>0</v>
      </c>
      <c r="M156" s="108">
        <v>0</v>
      </c>
      <c r="N156" s="108">
        <v>0</v>
      </c>
    </row>
    <row r="157" spans="1:14" ht="12.75" customHeight="1" x14ac:dyDescent="0.35">
      <c r="A157" s="101" t="s">
        <v>456</v>
      </c>
      <c r="B157" s="102" t="s">
        <v>457</v>
      </c>
      <c r="C157" s="104">
        <v>33095892</v>
      </c>
      <c r="D157" s="106">
        <v>16729081000103</v>
      </c>
      <c r="E157" s="62">
        <v>0</v>
      </c>
      <c r="F157" s="125">
        <v>0.32</v>
      </c>
      <c r="G157" t="s">
        <v>783</v>
      </c>
      <c r="H157" s="107" t="s">
        <v>620</v>
      </c>
      <c r="I157" s="66">
        <v>3354</v>
      </c>
      <c r="J157" s="124">
        <v>17140</v>
      </c>
      <c r="K157" s="62">
        <v>0</v>
      </c>
      <c r="L157" s="62">
        <v>0</v>
      </c>
      <c r="M157" s="108">
        <v>0</v>
      </c>
      <c r="N157" s="108">
        <v>0</v>
      </c>
    </row>
    <row r="158" spans="1:14" ht="12.75" customHeight="1" x14ac:dyDescent="0.35">
      <c r="A158" s="99" t="s">
        <v>458</v>
      </c>
      <c r="B158" s="100" t="s">
        <v>459</v>
      </c>
      <c r="C158" s="103">
        <v>33147248</v>
      </c>
      <c r="D158" s="105">
        <v>12468491000189</v>
      </c>
      <c r="E158" s="62">
        <v>106.57</v>
      </c>
      <c r="F158" s="125">
        <v>0.32</v>
      </c>
      <c r="G158" t="s">
        <v>784</v>
      </c>
      <c r="H158" s="107" t="s">
        <v>621</v>
      </c>
      <c r="I158" s="66">
        <v>3189</v>
      </c>
      <c r="J158" s="124">
        <v>24856</v>
      </c>
      <c r="K158" s="62">
        <v>0</v>
      </c>
      <c r="L158" s="62">
        <v>0</v>
      </c>
      <c r="M158" s="108">
        <v>0</v>
      </c>
      <c r="N158" s="108">
        <v>0</v>
      </c>
    </row>
    <row r="159" spans="1:14" ht="12.75" customHeight="1" x14ac:dyDescent="0.35">
      <c r="A159" s="101" t="s">
        <v>460</v>
      </c>
      <c r="B159" s="102" t="s">
        <v>461</v>
      </c>
      <c r="C159" s="104">
        <v>33144710</v>
      </c>
      <c r="D159" s="106">
        <v>12219144000112</v>
      </c>
      <c r="E159" s="62">
        <v>0</v>
      </c>
      <c r="F159" s="125">
        <v>0</v>
      </c>
      <c r="G159" t="s">
        <v>785</v>
      </c>
      <c r="H159" s="107" t="s">
        <v>622</v>
      </c>
      <c r="I159" s="66">
        <v>3189</v>
      </c>
      <c r="J159" s="124" t="s">
        <v>802</v>
      </c>
      <c r="K159" s="62">
        <v>0</v>
      </c>
      <c r="L159" s="62">
        <v>0</v>
      </c>
      <c r="M159" s="108">
        <v>0</v>
      </c>
      <c r="N159" s="108">
        <v>0</v>
      </c>
    </row>
    <row r="160" spans="1:14" ht="12.75" customHeight="1" x14ac:dyDescent="0.35">
      <c r="A160" s="99" t="s">
        <v>462</v>
      </c>
      <c r="B160" s="100" t="s">
        <v>463</v>
      </c>
      <c r="C160" s="103">
        <v>33070504</v>
      </c>
      <c r="D160" s="105">
        <v>1859441000106</v>
      </c>
      <c r="E160" s="62">
        <v>0</v>
      </c>
      <c r="F160" s="125">
        <v>0</v>
      </c>
      <c r="G160" t="s">
        <v>786</v>
      </c>
      <c r="H160" s="107" t="s">
        <v>623</v>
      </c>
      <c r="I160" s="66">
        <v>3189</v>
      </c>
      <c r="J160" s="124">
        <v>24724</v>
      </c>
      <c r="K160" s="62">
        <v>0</v>
      </c>
      <c r="L160" s="62">
        <v>0</v>
      </c>
      <c r="M160" s="108">
        <v>0</v>
      </c>
      <c r="N160" s="108">
        <v>0</v>
      </c>
    </row>
    <row r="161" spans="1:14" ht="12.75" customHeight="1" x14ac:dyDescent="0.35">
      <c r="A161" s="101" t="s">
        <v>464</v>
      </c>
      <c r="B161" s="102" t="s">
        <v>465</v>
      </c>
      <c r="C161" s="104">
        <v>33170991</v>
      </c>
      <c r="D161" s="106">
        <v>23402143000125</v>
      </c>
      <c r="E161" s="62">
        <v>0</v>
      </c>
      <c r="F161" s="125">
        <v>0</v>
      </c>
      <c r="G161" t="s">
        <v>787</v>
      </c>
      <c r="H161" s="107" t="s">
        <v>624</v>
      </c>
      <c r="I161" s="66">
        <v>3354</v>
      </c>
      <c r="J161" s="124">
        <v>17159</v>
      </c>
      <c r="K161" s="62">
        <v>0</v>
      </c>
      <c r="L161" s="62">
        <v>0</v>
      </c>
      <c r="M161" s="108">
        <v>0</v>
      </c>
      <c r="N161" s="108">
        <v>0</v>
      </c>
    </row>
    <row r="162" spans="1:14" ht="12.75" customHeight="1" x14ac:dyDescent="0.35">
      <c r="A162" s="99" t="s">
        <v>466</v>
      </c>
      <c r="B162" s="100" t="s">
        <v>467</v>
      </c>
      <c r="C162" s="103">
        <v>33070806</v>
      </c>
      <c r="D162" s="105">
        <v>1268536000155</v>
      </c>
      <c r="E162" s="62">
        <v>0</v>
      </c>
      <c r="F162" s="125">
        <v>0</v>
      </c>
      <c r="G162" t="s">
        <v>788</v>
      </c>
      <c r="H162" s="107" t="s">
        <v>625</v>
      </c>
      <c r="I162" s="66">
        <v>497</v>
      </c>
      <c r="J162" s="124">
        <v>22837</v>
      </c>
      <c r="K162" s="62">
        <v>0</v>
      </c>
      <c r="L162" s="62">
        <v>0</v>
      </c>
      <c r="M162" s="108">
        <v>0</v>
      </c>
      <c r="N162" s="108">
        <v>0</v>
      </c>
    </row>
    <row r="163" spans="1:14" ht="12.75" customHeight="1" x14ac:dyDescent="0.35">
      <c r="A163" s="101" t="s">
        <v>468</v>
      </c>
      <c r="B163" s="102" t="s">
        <v>469</v>
      </c>
      <c r="C163" s="104">
        <v>33070407</v>
      </c>
      <c r="D163" s="106">
        <v>1412221000130</v>
      </c>
      <c r="E163" s="62">
        <v>0</v>
      </c>
      <c r="F163" s="125">
        <v>0</v>
      </c>
      <c r="G163" t="s">
        <v>789</v>
      </c>
      <c r="H163" s="107" t="s">
        <v>626</v>
      </c>
      <c r="I163" s="66">
        <v>497</v>
      </c>
      <c r="J163" s="124" t="s">
        <v>803</v>
      </c>
      <c r="K163" s="62">
        <v>0</v>
      </c>
      <c r="L163" s="62">
        <v>0</v>
      </c>
      <c r="M163" s="108">
        <v>0</v>
      </c>
      <c r="N163" s="108">
        <v>0</v>
      </c>
    </row>
    <row r="164" spans="1:14" ht="12.75" customHeight="1" x14ac:dyDescent="0.35">
      <c r="A164" s="99" t="s">
        <v>470</v>
      </c>
      <c r="B164" s="100" t="s">
        <v>471</v>
      </c>
      <c r="C164" s="103">
        <v>33070520</v>
      </c>
      <c r="D164" s="105">
        <v>1294812000150</v>
      </c>
      <c r="E164" s="62">
        <v>0</v>
      </c>
      <c r="F164" s="125">
        <v>0</v>
      </c>
      <c r="G164" t="s">
        <v>790</v>
      </c>
      <c r="H164" s="107" t="s">
        <v>627</v>
      </c>
      <c r="I164" s="66">
        <v>497</v>
      </c>
      <c r="J164" s="124">
        <v>415367</v>
      </c>
      <c r="K164" s="62">
        <v>0</v>
      </c>
      <c r="L164" s="62">
        <v>0</v>
      </c>
      <c r="M164" s="108">
        <v>0</v>
      </c>
      <c r="N164" s="108">
        <v>0</v>
      </c>
    </row>
  </sheetData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3"/>
  <sheetViews>
    <sheetView showGridLines="0" view="pageBreakPreview" zoomScale="102" zoomScaleNormal="100" zoomScaleSheetLayoutView="102" workbookViewId="0">
      <selection activeCell="K12" sqref="K12"/>
    </sheetView>
  </sheetViews>
  <sheetFormatPr defaultColWidth="8.90625" defaultRowHeight="12.5" x14ac:dyDescent="0.25"/>
  <cols>
    <col min="1" max="1" width="12.54296875" style="30" customWidth="1"/>
    <col min="2" max="2" width="19" style="30" customWidth="1"/>
    <col min="3" max="3" width="15.90625" style="30" customWidth="1"/>
    <col min="4" max="4" width="4.08984375" style="30" customWidth="1"/>
    <col min="5" max="5" width="8.90625" style="30"/>
    <col min="6" max="6" width="24.453125" style="30" customWidth="1"/>
    <col min="7" max="7" width="16.36328125" style="30" customWidth="1"/>
    <col min="8" max="8" width="10.6328125" style="30" customWidth="1"/>
    <col min="9" max="9" width="11.6328125" style="30" customWidth="1"/>
    <col min="10" max="10" width="12" style="30" bestFit="1" customWidth="1"/>
    <col min="11" max="11" width="11" style="30" bestFit="1" customWidth="1"/>
    <col min="12" max="12" width="8.90625" style="30"/>
    <col min="13" max="13" width="12" style="30" bestFit="1" customWidth="1"/>
    <col min="14" max="16384" width="8.90625" style="30"/>
  </cols>
  <sheetData>
    <row r="1" spans="1:9" ht="14" x14ac:dyDescent="0.3">
      <c r="A1" s="214" t="s">
        <v>13</v>
      </c>
      <c r="B1" s="214"/>
      <c r="C1" s="214"/>
      <c r="D1" s="214"/>
      <c r="E1" s="214"/>
      <c r="F1" s="214"/>
      <c r="G1" s="214"/>
    </row>
    <row r="2" spans="1:9" ht="14" x14ac:dyDescent="0.3">
      <c r="A2" s="110" t="s">
        <v>14</v>
      </c>
      <c r="B2" s="219" t="s">
        <v>471</v>
      </c>
      <c r="C2" s="219"/>
      <c r="D2" s="219"/>
      <c r="E2" s="219"/>
      <c r="F2" s="219"/>
      <c r="G2" s="220"/>
    </row>
    <row r="3" spans="1:9" ht="14.5" x14ac:dyDescent="0.35">
      <c r="A3" s="111" t="s">
        <v>15</v>
      </c>
      <c r="B3" s="215">
        <f>_xlfn.XLOOKUP(B2,BASE!B$2:B$164,BASE!D$2:D$164)</f>
        <v>1294812000150</v>
      </c>
      <c r="C3" s="216"/>
      <c r="D3" s="216"/>
      <c r="E3" s="112"/>
      <c r="F3" s="112"/>
      <c r="G3" s="113"/>
    </row>
    <row r="4" spans="1:9" ht="14.5" x14ac:dyDescent="0.35">
      <c r="A4" s="111" t="s">
        <v>16</v>
      </c>
      <c r="B4" s="221" t="str">
        <f>_xlfn.XLOOKUP(B2,BASE!B2:B164,BASE!H2:H164)</f>
        <v>RUA SEBASTIAN BACH S/Nº , JARDIM AMÉRICA - CEP: 21240370</v>
      </c>
      <c r="C4" s="222"/>
      <c r="D4" s="222"/>
      <c r="E4" s="222"/>
      <c r="F4" s="222"/>
      <c r="G4" s="223"/>
    </row>
    <row r="5" spans="1:9" ht="14" x14ac:dyDescent="0.3">
      <c r="A5" s="111"/>
      <c r="B5" s="222"/>
      <c r="C5" s="222"/>
      <c r="D5" s="222"/>
      <c r="E5" s="222"/>
      <c r="F5" s="114"/>
      <c r="G5" s="113"/>
    </row>
    <row r="6" spans="1:9" ht="13" x14ac:dyDescent="0.3">
      <c r="A6" s="115" t="s">
        <v>17</v>
      </c>
      <c r="B6" s="116">
        <f>_xlfn.XLOOKUP(B2,BASE[NOME],BASE[AGENCIA])</f>
        <v>497</v>
      </c>
      <c r="C6" s="217" t="s">
        <v>18</v>
      </c>
      <c r="D6" s="217"/>
      <c r="E6" s="217"/>
      <c r="F6" s="117">
        <f>_xlfn.XLOOKUP(B2,BASE[NOME],BASE[CONTA CORRENTE])</f>
        <v>415367</v>
      </c>
      <c r="G6" s="118"/>
    </row>
    <row r="7" spans="1:9" ht="13" x14ac:dyDescent="0.3">
      <c r="A7" s="218" t="s">
        <v>19</v>
      </c>
      <c r="B7" s="218"/>
      <c r="C7" s="218"/>
      <c r="E7" s="34"/>
      <c r="F7" s="34"/>
      <c r="G7" s="33"/>
    </row>
    <row r="8" spans="1:9" ht="13" x14ac:dyDescent="0.3">
      <c r="A8" s="25" t="s">
        <v>20</v>
      </c>
      <c r="B8" s="35" t="s">
        <v>21</v>
      </c>
      <c r="C8" s="35" t="s">
        <v>22</v>
      </c>
      <c r="D8" s="34"/>
      <c r="E8" s="34"/>
      <c r="F8" s="34"/>
      <c r="G8" s="33"/>
    </row>
    <row r="9" spans="1:9" ht="13" x14ac:dyDescent="0.3">
      <c r="A9" s="25" t="s">
        <v>23</v>
      </c>
      <c r="B9" s="60"/>
      <c r="C9" s="60"/>
      <c r="E9" s="32"/>
      <c r="G9" s="33"/>
      <c r="H9" s="36"/>
      <c r="I9" s="37"/>
    </row>
    <row r="10" spans="1:9" ht="13" x14ac:dyDescent="0.3">
      <c r="A10" s="25" t="s">
        <v>24</v>
      </c>
      <c r="B10" s="60"/>
      <c r="C10" s="60"/>
      <c r="E10" s="38"/>
      <c r="G10" s="33"/>
      <c r="H10" s="36"/>
      <c r="I10" s="37"/>
    </row>
    <row r="11" spans="1:9" ht="13" x14ac:dyDescent="0.3">
      <c r="A11" s="25" t="s">
        <v>25</v>
      </c>
      <c r="B11" s="60"/>
      <c r="C11" s="60"/>
      <c r="E11" s="39"/>
      <c r="G11" s="33"/>
      <c r="H11" s="36"/>
      <c r="I11" s="37"/>
    </row>
    <row r="12" spans="1:9" x14ac:dyDescent="0.25">
      <c r="A12" s="25" t="s">
        <v>26</v>
      </c>
      <c r="B12" s="60"/>
      <c r="C12" s="60"/>
      <c r="E12" s="33"/>
      <c r="G12" s="33"/>
      <c r="H12" s="36"/>
      <c r="I12" s="37"/>
    </row>
    <row r="13" spans="1:9" x14ac:dyDescent="0.25">
      <c r="A13" s="25" t="s">
        <v>27</v>
      </c>
      <c r="B13" s="60"/>
      <c r="C13" s="60"/>
      <c r="E13" s="37"/>
      <c r="G13" s="33"/>
      <c r="H13" s="36"/>
      <c r="I13" s="37"/>
    </row>
    <row r="14" spans="1:9" x14ac:dyDescent="0.25">
      <c r="A14" s="25" t="s">
        <v>28</v>
      </c>
      <c r="B14" s="60"/>
      <c r="C14" s="60"/>
      <c r="E14" s="37"/>
      <c r="G14" s="33"/>
      <c r="I14" s="37"/>
    </row>
    <row r="15" spans="1:9" x14ac:dyDescent="0.25">
      <c r="A15" s="25" t="s">
        <v>29</v>
      </c>
      <c r="B15" s="60"/>
      <c r="C15" s="60"/>
      <c r="E15" s="37"/>
      <c r="G15" s="33"/>
    </row>
    <row r="16" spans="1:9" x14ac:dyDescent="0.25">
      <c r="A16" s="25" t="s">
        <v>30</v>
      </c>
      <c r="B16" s="60"/>
      <c r="C16" s="60"/>
      <c r="E16" s="37"/>
      <c r="G16" s="33"/>
    </row>
    <row r="17" spans="1:11" ht="13" x14ac:dyDescent="0.3">
      <c r="A17" s="25" t="s">
        <v>31</v>
      </c>
      <c r="B17" s="60"/>
      <c r="C17" s="60"/>
      <c r="E17" s="39"/>
      <c r="G17" s="33"/>
    </row>
    <row r="18" spans="1:11" x14ac:dyDescent="0.25">
      <c r="A18" s="25" t="s">
        <v>32</v>
      </c>
      <c r="B18" s="60"/>
      <c r="C18" s="60"/>
      <c r="G18" s="33"/>
    </row>
    <row r="19" spans="1:11" ht="13" x14ac:dyDescent="0.3">
      <c r="A19" s="25" t="s">
        <v>33</v>
      </c>
      <c r="B19" s="61"/>
      <c r="C19" s="61"/>
      <c r="G19" s="33"/>
    </row>
    <row r="20" spans="1:11" x14ac:dyDescent="0.25">
      <c r="A20" s="25" t="s">
        <v>34</v>
      </c>
      <c r="B20" s="60"/>
      <c r="C20" s="60"/>
    </row>
    <row r="21" spans="1:11" ht="13" thickBot="1" x14ac:dyDescent="0.3">
      <c r="A21" s="25" t="s">
        <v>35</v>
      </c>
      <c r="B21" s="123">
        <f>SUM(B9:B20)</f>
        <v>0</v>
      </c>
      <c r="C21" s="123">
        <f>SUM(C9:C20)</f>
        <v>0</v>
      </c>
    </row>
    <row r="22" spans="1:11" ht="13" thickBot="1" x14ac:dyDescent="0.3">
      <c r="A22" s="42" t="s">
        <v>36</v>
      </c>
      <c r="B22" s="212">
        <f>B21+C21</f>
        <v>0</v>
      </c>
      <c r="C22" s="213"/>
    </row>
    <row r="24" spans="1:11" ht="13" x14ac:dyDescent="0.3">
      <c r="A24" s="224" t="s">
        <v>37</v>
      </c>
      <c r="B24" s="224"/>
      <c r="C24" s="224"/>
      <c r="D24" s="224"/>
      <c r="E24" s="224"/>
      <c r="F24" s="224"/>
      <c r="G24" s="224"/>
    </row>
    <row r="26" spans="1:11" ht="13" x14ac:dyDescent="0.3">
      <c r="A26" s="225" t="s">
        <v>38</v>
      </c>
      <c r="B26" s="225"/>
      <c r="C26" s="225"/>
      <c r="D26" s="225"/>
      <c r="E26" s="225"/>
      <c r="F26" s="225"/>
      <c r="G26" s="225"/>
    </row>
    <row r="27" spans="1:11" x14ac:dyDescent="0.25">
      <c r="A27" s="226" t="s">
        <v>39</v>
      </c>
      <c r="B27" s="226"/>
      <c r="C27" s="226"/>
      <c r="E27" s="226" t="s">
        <v>40</v>
      </c>
      <c r="F27" s="226"/>
      <c r="G27" s="226"/>
    </row>
    <row r="28" spans="1:11" ht="14.5" x14ac:dyDescent="0.35">
      <c r="A28" s="227" t="s">
        <v>41</v>
      </c>
      <c r="B28" s="227"/>
      <c r="C28" s="122">
        <f>_xlfn.XLOOKUP(B2,BASE!B:B,BASE!E:E)</f>
        <v>0</v>
      </c>
      <c r="E28" s="227" t="s">
        <v>41</v>
      </c>
      <c r="F28" s="227"/>
      <c r="G28" s="122">
        <f>_xlfn.XLOOKUP(B2,BASE!B2:B164,BASE!F2:F164)</f>
        <v>0</v>
      </c>
      <c r="J28" s="37"/>
      <c r="K28" s="37"/>
    </row>
    <row r="29" spans="1:11" x14ac:dyDescent="0.25">
      <c r="A29" s="227" t="s">
        <v>42</v>
      </c>
      <c r="B29" s="227"/>
      <c r="C29" s="121" cm="1">
        <f t="array" ref="C29">_xlfn.XLOOKUP($B2,BASE!$B2:$B164,BASE[1 PARCELA CUSTEIO])</f>
        <v>0</v>
      </c>
      <c r="E29" s="227" t="s">
        <v>42</v>
      </c>
      <c r="F29" s="227"/>
      <c r="G29" s="121" cm="1">
        <f t="array" ref="G29">_xlfn.XLOOKUP($B2,BASE!$B2:$B164,BASE[1 PARCELA CAPITAL])</f>
        <v>0</v>
      </c>
      <c r="J29" s="37"/>
      <c r="K29" s="37"/>
    </row>
    <row r="30" spans="1:11" x14ac:dyDescent="0.25">
      <c r="A30" s="227" t="s">
        <v>43</v>
      </c>
      <c r="B30" s="227"/>
      <c r="C30" s="121">
        <f>_xlfn.XLOOKUP(B2,BASE!B:B,BASE!M:M)</f>
        <v>0</v>
      </c>
      <c r="E30" s="227" t="s">
        <v>43</v>
      </c>
      <c r="F30" s="227"/>
      <c r="G30" s="121">
        <f>_xlfn.XLOOKUP(B2,BASE!B:B,BASE!N:N)</f>
        <v>0</v>
      </c>
      <c r="J30" s="37"/>
      <c r="K30" s="37"/>
    </row>
    <row r="31" spans="1:11" x14ac:dyDescent="0.25">
      <c r="A31" s="228" t="s">
        <v>44</v>
      </c>
      <c r="B31" s="186"/>
      <c r="C31" s="121">
        <f>C29+C30</f>
        <v>0</v>
      </c>
      <c r="E31" s="228" t="s">
        <v>44</v>
      </c>
      <c r="F31" s="186"/>
      <c r="G31" s="121">
        <f>G29+G30</f>
        <v>0</v>
      </c>
      <c r="J31" s="37"/>
      <c r="K31" s="37"/>
    </row>
    <row r="32" spans="1:11" x14ac:dyDescent="0.25">
      <c r="A32" s="227" t="s">
        <v>45</v>
      </c>
      <c r="B32" s="227"/>
      <c r="C32" s="29">
        <v>0</v>
      </c>
      <c r="E32" s="227" t="s">
        <v>45</v>
      </c>
      <c r="F32" s="227"/>
      <c r="G32" s="29">
        <v>0</v>
      </c>
    </row>
    <row r="33" spans="1:7" x14ac:dyDescent="0.25">
      <c r="A33" s="227" t="s">
        <v>46</v>
      </c>
      <c r="B33" s="227"/>
      <c r="C33" s="29">
        <v>0</v>
      </c>
      <c r="E33" s="227" t="s">
        <v>46</v>
      </c>
      <c r="F33" s="227"/>
      <c r="G33" s="29">
        <v>0</v>
      </c>
    </row>
    <row r="34" spans="1:7" x14ac:dyDescent="0.25">
      <c r="A34" s="228" t="s">
        <v>47</v>
      </c>
      <c r="B34" s="186"/>
      <c r="C34" s="28">
        <v>0</v>
      </c>
      <c r="E34" s="228" t="s">
        <v>47</v>
      </c>
      <c r="F34" s="186"/>
      <c r="G34" s="28">
        <v>0</v>
      </c>
    </row>
    <row r="35" spans="1:7" x14ac:dyDescent="0.25">
      <c r="A35" s="227" t="s">
        <v>48</v>
      </c>
      <c r="B35" s="227"/>
      <c r="C35" s="121">
        <f>Demonstrativo!D25</f>
        <v>0</v>
      </c>
      <c r="E35" s="227" t="s">
        <v>48</v>
      </c>
      <c r="F35" s="227"/>
      <c r="G35" s="121">
        <f>Demonstrativo!F25</f>
        <v>0</v>
      </c>
    </row>
    <row r="36" spans="1:7" ht="13.25" customHeight="1" x14ac:dyDescent="0.25">
      <c r="A36" s="228" t="s">
        <v>49</v>
      </c>
      <c r="B36" s="186"/>
      <c r="C36" s="28">
        <v>0</v>
      </c>
      <c r="E36" s="228" t="s">
        <v>50</v>
      </c>
      <c r="F36" s="186"/>
      <c r="G36" s="28">
        <v>0</v>
      </c>
    </row>
    <row r="37" spans="1:7" x14ac:dyDescent="0.25">
      <c r="A37" s="227" t="s">
        <v>51</v>
      </c>
      <c r="B37" s="227"/>
      <c r="C37" s="121">
        <f>C28+C29+C30+C32+C33-C35-C36</f>
        <v>0</v>
      </c>
      <c r="E37" s="227" t="s">
        <v>51</v>
      </c>
      <c r="F37" s="227"/>
      <c r="G37" s="121">
        <f>G28+G29+G30+G32+G33-G35-G36</f>
        <v>0</v>
      </c>
    </row>
    <row r="38" spans="1:7" ht="9" customHeight="1" x14ac:dyDescent="0.25"/>
    <row r="40" spans="1:7" ht="13" x14ac:dyDescent="0.3">
      <c r="A40" s="229" t="s">
        <v>52</v>
      </c>
      <c r="B40" s="229"/>
      <c r="C40" s="229"/>
      <c r="D40" s="229"/>
      <c r="E40" s="229"/>
      <c r="F40" s="229"/>
      <c r="G40" s="229"/>
    </row>
    <row r="41" spans="1:7" ht="13" x14ac:dyDescent="0.3">
      <c r="A41" s="40"/>
      <c r="B41" s="40"/>
      <c r="C41" s="40"/>
      <c r="D41" s="40"/>
      <c r="E41" s="40"/>
      <c r="F41" s="40"/>
      <c r="G41" s="40"/>
    </row>
    <row r="42" spans="1:7" ht="13" x14ac:dyDescent="0.3">
      <c r="A42" s="225" t="s">
        <v>53</v>
      </c>
      <c r="B42" s="225"/>
      <c r="C42" s="225"/>
      <c r="E42" s="225" t="s">
        <v>54</v>
      </c>
      <c r="F42" s="225"/>
      <c r="G42" s="225"/>
    </row>
    <row r="43" spans="1:7" ht="13" x14ac:dyDescent="0.3">
      <c r="A43" s="228" t="s">
        <v>55</v>
      </c>
      <c r="B43" s="186"/>
      <c r="C43" s="119">
        <f>C28+G28</f>
        <v>0</v>
      </c>
      <c r="E43" s="228" t="s">
        <v>56</v>
      </c>
      <c r="F43" s="186"/>
      <c r="G43" s="120">
        <f>C37+G37</f>
        <v>0</v>
      </c>
    </row>
    <row r="44" spans="1:7" ht="17.149999999999999" customHeight="1" x14ac:dyDescent="0.25">
      <c r="A44" s="227" t="s">
        <v>57</v>
      </c>
      <c r="B44" s="227"/>
      <c r="C44" s="41">
        <v>0</v>
      </c>
      <c r="E44" s="25" t="s">
        <v>57</v>
      </c>
      <c r="F44" s="25"/>
      <c r="G44" s="41"/>
    </row>
    <row r="45" spans="1:7" ht="17.149999999999999" customHeight="1" x14ac:dyDescent="0.25">
      <c r="A45" s="25" t="s">
        <v>58</v>
      </c>
      <c r="B45" s="25"/>
      <c r="C45" s="41">
        <v>0</v>
      </c>
      <c r="E45" s="25" t="s">
        <v>58</v>
      </c>
      <c r="F45" s="25"/>
      <c r="G45" s="41"/>
    </row>
    <row r="46" spans="1:7" ht="17.149999999999999" customHeight="1" x14ac:dyDescent="0.25">
      <c r="A46" s="25" t="s">
        <v>59</v>
      </c>
      <c r="B46" s="25"/>
      <c r="C46" s="41">
        <v>0</v>
      </c>
      <c r="E46" s="25" t="s">
        <v>59</v>
      </c>
      <c r="F46" s="25"/>
      <c r="G46" s="41"/>
    </row>
    <row r="47" spans="1:7" ht="17.149999999999999" customHeight="1" x14ac:dyDescent="0.25">
      <c r="A47" s="228" t="s">
        <v>60</v>
      </c>
      <c r="B47" s="186"/>
      <c r="C47" s="119">
        <f>C44+C45+C46</f>
        <v>0</v>
      </c>
      <c r="E47" s="228" t="s">
        <v>61</v>
      </c>
      <c r="F47" s="186"/>
      <c r="G47" s="119">
        <f>G44+G45+G46</f>
        <v>0</v>
      </c>
    </row>
    <row r="48" spans="1:7" ht="17.149999999999999" customHeight="1" x14ac:dyDescent="0.25">
      <c r="A48" s="25" t="s">
        <v>62</v>
      </c>
      <c r="B48" s="25"/>
      <c r="C48" s="119">
        <f>C47-C43</f>
        <v>0</v>
      </c>
      <c r="E48" s="25" t="s">
        <v>62</v>
      </c>
      <c r="F48" s="25"/>
      <c r="G48" s="119">
        <f>G47-G43</f>
        <v>0</v>
      </c>
    </row>
    <row r="50" spans="1:7" x14ac:dyDescent="0.25">
      <c r="A50" s="230" t="s">
        <v>63</v>
      </c>
      <c r="B50" s="230"/>
      <c r="C50" s="230"/>
      <c r="D50" s="230"/>
      <c r="E50" s="230"/>
      <c r="F50" s="230"/>
      <c r="G50" s="230"/>
    </row>
    <row r="52" spans="1:7" ht="14.5" x14ac:dyDescent="0.35">
      <c r="A52" s="231" t="str">
        <f>_xlfn.XLOOKUP(B2,BASE!B2:B164,BASE!G2:G164)</f>
        <v>ODETTE DOS SANTOS SACRAMENTO TERREZO FARDILHA</v>
      </c>
      <c r="B52" s="232"/>
      <c r="C52" s="232"/>
      <c r="E52" s="233" t="s">
        <v>64</v>
      </c>
      <c r="F52" s="233"/>
      <c r="G52" s="233"/>
    </row>
    <row r="53" spans="1:7" x14ac:dyDescent="0.25">
      <c r="A53" s="233" t="s">
        <v>65</v>
      </c>
      <c r="B53" s="233"/>
      <c r="C53" s="233"/>
      <c r="E53" s="233" t="s">
        <v>66</v>
      </c>
      <c r="F53" s="233"/>
      <c r="G53" s="233"/>
    </row>
  </sheetData>
  <mergeCells count="45">
    <mergeCell ref="A29:B29"/>
    <mergeCell ref="E29:F29"/>
    <mergeCell ref="A31:B31"/>
    <mergeCell ref="E31:F31"/>
    <mergeCell ref="A35:B35"/>
    <mergeCell ref="E35:F35"/>
    <mergeCell ref="A37:B37"/>
    <mergeCell ref="E37:F37"/>
    <mergeCell ref="E36:F36"/>
    <mergeCell ref="A36:B36"/>
    <mergeCell ref="A30:B30"/>
    <mergeCell ref="E30:F30"/>
    <mergeCell ref="A32:B32"/>
    <mergeCell ref="E32:F32"/>
    <mergeCell ref="A33:B33"/>
    <mergeCell ref="E33:F33"/>
    <mergeCell ref="E34:F34"/>
    <mergeCell ref="A34:B34"/>
    <mergeCell ref="A50:G50"/>
    <mergeCell ref="A52:C52"/>
    <mergeCell ref="A53:C53"/>
    <mergeCell ref="E53:G53"/>
    <mergeCell ref="E52:G52"/>
    <mergeCell ref="A44:B44"/>
    <mergeCell ref="A47:B47"/>
    <mergeCell ref="E47:F47"/>
    <mergeCell ref="A40:G40"/>
    <mergeCell ref="A42:C42"/>
    <mergeCell ref="E42:G42"/>
    <mergeCell ref="E43:F43"/>
    <mergeCell ref="A43:B43"/>
    <mergeCell ref="A24:G24"/>
    <mergeCell ref="A26:G26"/>
    <mergeCell ref="A27:C27"/>
    <mergeCell ref="E27:G27"/>
    <mergeCell ref="A28:B28"/>
    <mergeCell ref="E28:F28"/>
    <mergeCell ref="B22:C22"/>
    <mergeCell ref="A1:G1"/>
    <mergeCell ref="B3:D3"/>
    <mergeCell ref="C6:E6"/>
    <mergeCell ref="A7:C7"/>
    <mergeCell ref="B2:G2"/>
    <mergeCell ref="B4:G4"/>
    <mergeCell ref="B5:E5"/>
  </mergeCells>
  <pageMargins left="0.511811024" right="0.511811024" top="0.78740157499999996" bottom="0.78740157499999996" header="0.31496062000000002" footer="0.31496062000000002"/>
  <pageSetup paperSize="9" scale="68" orientation="portrait" r:id="rId1"/>
  <ignoredErrors>
    <ignoredError sqref="C31" evalError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BASE!$B$2:$B$164</xm:f>
          </x14:formula1>
          <xm:sqref>B2:G2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4:R158"/>
  <sheetViews>
    <sheetView showGridLines="0" view="pageBreakPreview" zoomScale="84" zoomScaleNormal="100" zoomScaleSheetLayoutView="84" workbookViewId="0">
      <selection activeCell="D25" sqref="D25:E25"/>
    </sheetView>
  </sheetViews>
  <sheetFormatPr defaultColWidth="6.453125" defaultRowHeight="14.5" x14ac:dyDescent="0.35"/>
  <cols>
    <col min="1" max="1" width="6.453125" customWidth="1"/>
    <col min="2" max="2" width="14.36328125" customWidth="1"/>
    <col min="3" max="3" width="17" customWidth="1"/>
    <col min="4" max="4" width="14.6328125" customWidth="1"/>
    <col min="5" max="6" width="8.90625" customWidth="1"/>
    <col min="7" max="7" width="11.54296875" customWidth="1"/>
    <col min="8" max="8" width="14.6328125" customWidth="1"/>
    <col min="9" max="9" width="5.08984375" customWidth="1"/>
    <col min="10" max="10" width="5.36328125" customWidth="1"/>
    <col min="11" max="11" width="10.90625" customWidth="1"/>
    <col min="12" max="12" width="11.6328125" customWidth="1"/>
    <col min="13" max="13" width="13.08984375" customWidth="1"/>
    <col min="14" max="14" width="22.08984375" customWidth="1"/>
    <col min="15" max="15" width="21.08984375" customWidth="1"/>
    <col min="16" max="16" width="16.6328125" customWidth="1"/>
    <col min="17" max="17" width="28.453125" customWidth="1"/>
    <col min="18" max="255" width="8.90625" customWidth="1"/>
  </cols>
  <sheetData>
    <row r="4" spans="1:17" x14ac:dyDescent="0.35">
      <c r="A4" t="s">
        <v>67</v>
      </c>
    </row>
    <row r="5" spans="1:17" x14ac:dyDescent="0.35">
      <c r="A5" s="279" t="s">
        <v>68</v>
      </c>
      <c r="B5" s="279"/>
      <c r="C5" s="279"/>
      <c r="D5" s="279"/>
      <c r="E5" s="279"/>
      <c r="F5" s="279"/>
      <c r="G5" s="279"/>
      <c r="H5" s="279"/>
    </row>
    <row r="6" spans="1:17" x14ac:dyDescent="0.35">
      <c r="A6" s="279"/>
      <c r="B6" s="279"/>
      <c r="C6" s="279"/>
      <c r="D6" s="279"/>
      <c r="E6" s="279"/>
      <c r="F6" s="279"/>
      <c r="G6" s="279"/>
      <c r="H6" s="279"/>
    </row>
    <row r="7" spans="1:17" s="31" customFormat="1" ht="13" x14ac:dyDescent="0.3">
      <c r="A7" s="279"/>
      <c r="B7" s="279"/>
      <c r="C7" s="279"/>
      <c r="D7" s="279"/>
      <c r="E7" s="279"/>
      <c r="F7" s="279"/>
      <c r="G7" s="279"/>
      <c r="H7" s="279"/>
    </row>
    <row r="8" spans="1:17" ht="8" customHeight="1" thickBot="1" x14ac:dyDescent="0.4">
      <c r="A8" s="2"/>
      <c r="B8" s="2"/>
      <c r="C8" s="2"/>
      <c r="D8" s="2"/>
      <c r="E8" s="2"/>
      <c r="F8" s="2"/>
      <c r="G8" s="2"/>
      <c r="H8" s="2"/>
    </row>
    <row r="9" spans="1:17" ht="16" thickTop="1" x14ac:dyDescent="0.35">
      <c r="A9" s="330" t="s">
        <v>69</v>
      </c>
      <c r="B9" s="331"/>
      <c r="C9" s="331"/>
      <c r="D9" s="331"/>
      <c r="E9" s="331"/>
      <c r="F9" s="331"/>
      <c r="G9" s="331"/>
      <c r="H9" s="331"/>
      <c r="I9" s="331"/>
      <c r="J9" s="331"/>
      <c r="K9" s="331"/>
      <c r="L9" s="331"/>
      <c r="M9" s="331"/>
      <c r="N9" s="331"/>
      <c r="O9" s="331"/>
      <c r="P9" s="331"/>
      <c r="Q9" s="332"/>
    </row>
    <row r="10" spans="1:17" ht="15.5" x14ac:dyDescent="0.35">
      <c r="A10" s="309" t="s">
        <v>70</v>
      </c>
      <c r="B10" s="310"/>
      <c r="C10" s="310"/>
      <c r="D10" s="310"/>
      <c r="E10" s="310"/>
      <c r="F10" s="310"/>
      <c r="G10" s="310"/>
      <c r="H10" s="310"/>
      <c r="I10" s="310"/>
      <c r="J10" s="310"/>
      <c r="K10" s="310"/>
      <c r="L10" s="310"/>
      <c r="M10" s="310"/>
      <c r="N10" s="310"/>
      <c r="O10" s="310"/>
      <c r="P10" s="311"/>
      <c r="Q10" s="109" t="s">
        <v>71</v>
      </c>
    </row>
    <row r="11" spans="1:17" ht="6.75" customHeight="1" x14ac:dyDescent="0.35">
      <c r="A11" s="357" t="s">
        <v>72</v>
      </c>
      <c r="B11" s="358"/>
      <c r="C11" s="358"/>
      <c r="D11" s="358"/>
      <c r="E11" s="358"/>
      <c r="F11" s="358"/>
      <c r="G11" s="358"/>
      <c r="H11" s="358"/>
      <c r="I11" s="358"/>
      <c r="J11" s="358"/>
      <c r="K11" s="358"/>
      <c r="L11" s="358"/>
      <c r="M11" s="358"/>
      <c r="N11" s="358"/>
      <c r="O11" s="358"/>
      <c r="P11" s="359"/>
      <c r="Q11" s="333">
        <v>2026</v>
      </c>
    </row>
    <row r="12" spans="1:17" ht="6.75" customHeight="1" x14ac:dyDescent="0.35">
      <c r="A12" s="360"/>
      <c r="B12" s="361"/>
      <c r="C12" s="361"/>
      <c r="D12" s="361"/>
      <c r="E12" s="361"/>
      <c r="F12" s="361"/>
      <c r="G12" s="361"/>
      <c r="H12" s="361"/>
      <c r="I12" s="361"/>
      <c r="J12" s="361"/>
      <c r="K12" s="361"/>
      <c r="L12" s="361"/>
      <c r="M12" s="361"/>
      <c r="N12" s="361"/>
      <c r="O12" s="361"/>
      <c r="P12" s="362"/>
      <c r="Q12" s="334"/>
    </row>
    <row r="13" spans="1:17" ht="15.5" x14ac:dyDescent="0.35">
      <c r="A13" s="309" t="s">
        <v>73</v>
      </c>
      <c r="B13" s="310"/>
      <c r="C13" s="310"/>
      <c r="D13" s="310"/>
      <c r="E13" s="310"/>
      <c r="F13" s="310"/>
      <c r="G13" s="310"/>
      <c r="H13" s="310"/>
      <c r="I13" s="310"/>
      <c r="J13" s="310"/>
      <c r="K13" s="310"/>
      <c r="L13" s="310"/>
      <c r="M13" s="310"/>
      <c r="N13" s="311"/>
      <c r="O13" s="312" t="s">
        <v>74</v>
      </c>
      <c r="P13" s="313"/>
      <c r="Q13" s="314"/>
    </row>
    <row r="14" spans="1:17" ht="12.75" customHeight="1" x14ac:dyDescent="0.35">
      <c r="A14" s="424" t="s">
        <v>14</v>
      </c>
      <c r="B14" s="425"/>
      <c r="C14" s="422" t="str">
        <f>MEMORIA!B2</f>
        <v>EDI CÔNEGO FERNANDES PINHEIRO</v>
      </c>
      <c r="D14" s="422"/>
      <c r="E14" s="422"/>
      <c r="F14" s="422"/>
      <c r="G14" s="422"/>
      <c r="H14" s="422"/>
      <c r="I14" s="422"/>
      <c r="J14" s="422"/>
      <c r="K14" s="422"/>
      <c r="L14" s="422"/>
      <c r="M14" s="422"/>
      <c r="N14" s="423"/>
      <c r="O14" s="315">
        <f>MEMORIA!B3</f>
        <v>1294812000150</v>
      </c>
      <c r="P14" s="316"/>
      <c r="Q14" s="317"/>
    </row>
    <row r="15" spans="1:17" ht="15.5" x14ac:dyDescent="0.35">
      <c r="A15" s="309" t="s">
        <v>75</v>
      </c>
      <c r="B15" s="310"/>
      <c r="C15" s="310"/>
      <c r="D15" s="310"/>
      <c r="E15" s="310"/>
      <c r="F15" s="310"/>
      <c r="G15" s="310"/>
      <c r="H15" s="310"/>
      <c r="I15" s="310"/>
      <c r="J15" s="310"/>
      <c r="K15" s="310"/>
      <c r="L15" s="310"/>
      <c r="M15" s="310"/>
      <c r="N15" s="311"/>
      <c r="O15" s="312" t="s">
        <v>76</v>
      </c>
      <c r="P15" s="314"/>
      <c r="Q15" s="67" t="s">
        <v>77</v>
      </c>
    </row>
    <row r="16" spans="1:17" ht="6.75" customHeight="1" x14ac:dyDescent="0.35">
      <c r="A16" s="335" t="str">
        <f>MEMORIA!B4</f>
        <v>RUA SEBASTIAN BACH S/Nº , JARDIM AMÉRICA - CEP: 21240370</v>
      </c>
      <c r="B16" s="336"/>
      <c r="C16" s="336"/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7"/>
      <c r="O16" s="354" t="s">
        <v>78</v>
      </c>
      <c r="P16" s="311"/>
      <c r="Q16" s="341" t="s">
        <v>79</v>
      </c>
    </row>
    <row r="17" spans="1:18" ht="7.5" customHeight="1" thickBot="1" x14ac:dyDescent="0.4">
      <c r="A17" s="338"/>
      <c r="B17" s="339"/>
      <c r="C17" s="339"/>
      <c r="D17" s="339"/>
      <c r="E17" s="339"/>
      <c r="F17" s="339"/>
      <c r="G17" s="339"/>
      <c r="H17" s="339"/>
      <c r="I17" s="339"/>
      <c r="J17" s="339"/>
      <c r="K17" s="339"/>
      <c r="L17" s="339"/>
      <c r="M17" s="339"/>
      <c r="N17" s="340"/>
      <c r="O17" s="355"/>
      <c r="P17" s="356"/>
      <c r="Q17" s="342"/>
    </row>
    <row r="18" spans="1:18" ht="6" customHeight="1" thickTop="1" thickBot="1" x14ac:dyDescent="0.4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1:18" ht="16" thickTop="1" x14ac:dyDescent="0.35">
      <c r="A19" s="69" t="s">
        <v>80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1"/>
    </row>
    <row r="20" spans="1:18" ht="15.5" x14ac:dyDescent="0.35">
      <c r="A20" s="72" t="s">
        <v>81</v>
      </c>
      <c r="B20" s="73"/>
      <c r="C20" s="74"/>
      <c r="D20" s="312" t="s">
        <v>82</v>
      </c>
      <c r="E20" s="313"/>
      <c r="F20" s="313"/>
      <c r="G20" s="314"/>
      <c r="H20" s="312" t="s">
        <v>83</v>
      </c>
      <c r="I20" s="313"/>
      <c r="J20" s="313"/>
      <c r="K20" s="313"/>
      <c r="L20" s="313"/>
      <c r="M20" s="314"/>
      <c r="N20" s="312" t="s">
        <v>84</v>
      </c>
      <c r="O20" s="314"/>
      <c r="P20" s="352" t="s">
        <v>85</v>
      </c>
      <c r="Q20" s="353"/>
    </row>
    <row r="21" spans="1:18" ht="15" customHeight="1" x14ac:dyDescent="0.35">
      <c r="A21" s="344" t="s">
        <v>86</v>
      </c>
      <c r="B21" s="326"/>
      <c r="C21" s="76" t="s">
        <v>87</v>
      </c>
      <c r="D21" s="325" t="s">
        <v>86</v>
      </c>
      <c r="E21" s="326"/>
      <c r="F21" s="325" t="s">
        <v>87</v>
      </c>
      <c r="G21" s="326"/>
      <c r="H21" s="325" t="s">
        <v>86</v>
      </c>
      <c r="I21" s="343"/>
      <c r="J21" s="326"/>
      <c r="K21" s="384" t="s">
        <v>87</v>
      </c>
      <c r="L21" s="385"/>
      <c r="M21" s="386"/>
      <c r="N21" s="77" t="s">
        <v>86</v>
      </c>
      <c r="O21" s="75" t="s">
        <v>87</v>
      </c>
      <c r="P21" s="76" t="s">
        <v>86</v>
      </c>
      <c r="Q21" s="78" t="s">
        <v>87</v>
      </c>
      <c r="R21" s="16"/>
    </row>
    <row r="22" spans="1:18" ht="21" customHeight="1" x14ac:dyDescent="0.35">
      <c r="A22" s="345">
        <f>MEMORIA!C28</f>
        <v>0</v>
      </c>
      <c r="B22" s="278"/>
      <c r="C22" s="80">
        <f>MEMORIA!G28</f>
        <v>0</v>
      </c>
      <c r="D22" s="276">
        <f>MEMORIA!C31</f>
        <v>0</v>
      </c>
      <c r="E22" s="278"/>
      <c r="F22" s="276">
        <f>MEMORIA!G31</f>
        <v>0</v>
      </c>
      <c r="G22" s="278"/>
      <c r="H22" s="276">
        <f>MEMORIA!C33</f>
        <v>0</v>
      </c>
      <c r="I22" s="277"/>
      <c r="J22" s="277"/>
      <c r="K22" s="276">
        <f>MEMORIA!G33</f>
        <v>0</v>
      </c>
      <c r="L22" s="277"/>
      <c r="M22" s="278"/>
      <c r="N22" s="81">
        <f>MEMORIA!C32</f>
        <v>0</v>
      </c>
      <c r="O22" s="79">
        <f>MEMORIA!G32</f>
        <v>0</v>
      </c>
      <c r="P22" s="81">
        <f>MEMORIA!C34</f>
        <v>0</v>
      </c>
      <c r="Q22" s="82">
        <f>MEMORIA!G34</f>
        <v>0</v>
      </c>
    </row>
    <row r="23" spans="1:18" ht="15.5" x14ac:dyDescent="0.35">
      <c r="A23" s="346" t="s">
        <v>88</v>
      </c>
      <c r="B23" s="347"/>
      <c r="C23" s="348"/>
      <c r="D23" s="349" t="s">
        <v>89</v>
      </c>
      <c r="E23" s="350"/>
      <c r="F23" s="350"/>
      <c r="G23" s="351"/>
      <c r="H23" s="322" t="s">
        <v>90</v>
      </c>
      <c r="I23" s="323"/>
      <c r="J23" s="323"/>
      <c r="K23" s="323"/>
      <c r="L23" s="324"/>
      <c r="M23" s="382" t="s">
        <v>91</v>
      </c>
      <c r="N23" s="383"/>
      <c r="O23" s="322" t="s">
        <v>92</v>
      </c>
      <c r="P23" s="323"/>
      <c r="Q23" s="83" t="s">
        <v>93</v>
      </c>
    </row>
    <row r="24" spans="1:18" ht="15" customHeight="1" x14ac:dyDescent="0.35">
      <c r="A24" s="344" t="s">
        <v>86</v>
      </c>
      <c r="B24" s="326"/>
      <c r="C24" s="76" t="s">
        <v>87</v>
      </c>
      <c r="D24" s="325" t="s">
        <v>86</v>
      </c>
      <c r="E24" s="326"/>
      <c r="F24" s="343" t="s">
        <v>87</v>
      </c>
      <c r="G24" s="326"/>
      <c r="H24" s="325" t="s">
        <v>86</v>
      </c>
      <c r="I24" s="343"/>
      <c r="J24" s="326"/>
      <c r="K24" s="325" t="s">
        <v>87</v>
      </c>
      <c r="L24" s="326"/>
      <c r="M24" s="84" t="s">
        <v>86</v>
      </c>
      <c r="N24" s="85" t="s">
        <v>87</v>
      </c>
      <c r="O24" s="389" t="s">
        <v>94</v>
      </c>
      <c r="P24" s="390"/>
      <c r="Q24" s="387">
        <v>1</v>
      </c>
    </row>
    <row r="25" spans="1:18" ht="21" customHeight="1" thickBot="1" x14ac:dyDescent="0.4">
      <c r="A25" s="327">
        <f>A22+D22+H22+N22-P22</f>
        <v>0</v>
      </c>
      <c r="B25" s="321"/>
      <c r="C25" s="87">
        <f>C22+F22+K22+O22-Q22</f>
        <v>0</v>
      </c>
      <c r="D25" s="328">
        <f>SUMIF(K30:K151,"=CUSTEIO",Q30:Q151)</f>
        <v>0</v>
      </c>
      <c r="E25" s="328"/>
      <c r="F25" s="328">
        <f>SUMIF(K30:K151,"=CAPITAL",Q30:Q151)</f>
        <v>0</v>
      </c>
      <c r="G25" s="328"/>
      <c r="H25" s="329">
        <f>SUM(A25-D25-M25)</f>
        <v>0</v>
      </c>
      <c r="I25" s="329"/>
      <c r="J25" s="329"/>
      <c r="K25" s="320">
        <f>SUM(C25-F25-N25)</f>
        <v>0</v>
      </c>
      <c r="L25" s="321"/>
      <c r="M25" s="86">
        <f>MEMORIA!C36</f>
        <v>0</v>
      </c>
      <c r="N25" s="88">
        <f>MEMORIA!G36</f>
        <v>0</v>
      </c>
      <c r="O25" s="391"/>
      <c r="P25" s="392"/>
      <c r="Q25" s="388"/>
    </row>
    <row r="26" spans="1:18" ht="6.75" customHeight="1" thickTop="1" thickBot="1" x14ac:dyDescent="0.4"/>
    <row r="27" spans="1:18" ht="15" thickTop="1" x14ac:dyDescent="0.35">
      <c r="A27" s="318" t="s">
        <v>95</v>
      </c>
      <c r="B27" s="319"/>
      <c r="C27" s="319"/>
      <c r="D27" s="319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4"/>
    </row>
    <row r="28" spans="1:18" ht="14.25" customHeight="1" x14ac:dyDescent="0.35">
      <c r="A28" s="283" t="s">
        <v>96</v>
      </c>
      <c r="B28" s="285" t="s">
        <v>97</v>
      </c>
      <c r="C28" s="286"/>
      <c r="D28" s="287"/>
      <c r="E28" s="370" t="s">
        <v>98</v>
      </c>
      <c r="F28" s="371"/>
      <c r="G28" s="371"/>
      <c r="H28" s="372"/>
      <c r="I28" s="294" t="s">
        <v>99</v>
      </c>
      <c r="J28" s="295"/>
      <c r="K28" s="298" t="s">
        <v>100</v>
      </c>
      <c r="L28" s="300" t="s">
        <v>101</v>
      </c>
      <c r="M28" s="301"/>
      <c r="N28" s="301"/>
      <c r="O28" s="285" t="s">
        <v>102</v>
      </c>
      <c r="P28" s="287"/>
      <c r="Q28" s="304" t="s">
        <v>103</v>
      </c>
    </row>
    <row r="29" spans="1:18" ht="15.5" x14ac:dyDescent="0.35">
      <c r="A29" s="284"/>
      <c r="B29" s="288"/>
      <c r="C29" s="289"/>
      <c r="D29" s="290"/>
      <c r="E29" s="373" t="s">
        <v>104</v>
      </c>
      <c r="F29" s="374"/>
      <c r="G29" s="374"/>
      <c r="H29" s="375"/>
      <c r="I29" s="296"/>
      <c r="J29" s="297"/>
      <c r="K29" s="299"/>
      <c r="L29" s="6" t="s">
        <v>105</v>
      </c>
      <c r="M29" s="9" t="s">
        <v>106</v>
      </c>
      <c r="N29" s="10" t="s">
        <v>107</v>
      </c>
      <c r="O29" s="8" t="s">
        <v>108</v>
      </c>
      <c r="P29" s="8" t="s">
        <v>107</v>
      </c>
      <c r="Q29" s="305"/>
    </row>
    <row r="30" spans="1:18" ht="20.25" customHeight="1" x14ac:dyDescent="0.35">
      <c r="A30" s="376">
        <v>1</v>
      </c>
      <c r="B30" s="365"/>
      <c r="C30" s="365"/>
      <c r="D30" s="365"/>
      <c r="E30" s="365"/>
      <c r="F30" s="365"/>
      <c r="G30" s="365"/>
      <c r="H30" s="365"/>
      <c r="I30" s="251" t="s">
        <v>109</v>
      </c>
      <c r="J30" s="251"/>
      <c r="K30" s="377" t="s">
        <v>39</v>
      </c>
      <c r="L30" s="377"/>
      <c r="M30" s="380"/>
      <c r="N30" s="367"/>
      <c r="O30" s="368"/>
      <c r="P30" s="378"/>
      <c r="Q30" s="369"/>
    </row>
    <row r="31" spans="1:18" ht="20.25" customHeight="1" x14ac:dyDescent="0.35">
      <c r="A31" s="376"/>
      <c r="B31" s="365"/>
      <c r="C31" s="365"/>
      <c r="D31" s="365"/>
      <c r="E31" s="365"/>
      <c r="F31" s="365"/>
      <c r="G31" s="365"/>
      <c r="H31" s="365"/>
      <c r="I31" s="251"/>
      <c r="J31" s="251"/>
      <c r="K31" s="377"/>
      <c r="L31" s="377"/>
      <c r="M31" s="381"/>
      <c r="N31" s="367"/>
      <c r="O31" s="368"/>
      <c r="P31" s="379"/>
      <c r="Q31" s="369"/>
    </row>
    <row r="32" spans="1:18" ht="20.25" customHeight="1" x14ac:dyDescent="0.35">
      <c r="A32" s="363">
        <v>2</v>
      </c>
      <c r="B32" s="365"/>
      <c r="C32" s="365"/>
      <c r="D32" s="365"/>
      <c r="E32" s="365"/>
      <c r="F32" s="365"/>
      <c r="G32" s="365"/>
      <c r="H32" s="365"/>
      <c r="I32" s="251" t="s">
        <v>109</v>
      </c>
      <c r="J32" s="251"/>
      <c r="K32" s="377"/>
      <c r="L32" s="377"/>
      <c r="M32" s="380"/>
      <c r="N32" s="367"/>
      <c r="O32" s="368"/>
      <c r="P32" s="378"/>
      <c r="Q32" s="366"/>
    </row>
    <row r="33" spans="1:18" ht="20.25" customHeight="1" x14ac:dyDescent="0.35">
      <c r="A33" s="364"/>
      <c r="B33" s="365"/>
      <c r="C33" s="365"/>
      <c r="D33" s="365"/>
      <c r="E33" s="365"/>
      <c r="F33" s="365"/>
      <c r="G33" s="365"/>
      <c r="H33" s="365"/>
      <c r="I33" s="251"/>
      <c r="J33" s="251"/>
      <c r="K33" s="377"/>
      <c r="L33" s="377"/>
      <c r="M33" s="381"/>
      <c r="N33" s="367"/>
      <c r="O33" s="368"/>
      <c r="P33" s="379"/>
      <c r="Q33" s="366"/>
    </row>
    <row r="34" spans="1:18" ht="20.25" customHeight="1" x14ac:dyDescent="0.35">
      <c r="A34" s="363">
        <v>3</v>
      </c>
      <c r="B34" s="365"/>
      <c r="C34" s="365"/>
      <c r="D34" s="365"/>
      <c r="E34" s="365"/>
      <c r="F34" s="365"/>
      <c r="G34" s="365"/>
      <c r="H34" s="365"/>
      <c r="I34" s="251" t="s">
        <v>109</v>
      </c>
      <c r="J34" s="251"/>
      <c r="K34" s="377"/>
      <c r="L34" s="377"/>
      <c r="M34" s="380"/>
      <c r="N34" s="367"/>
      <c r="O34" s="368"/>
      <c r="P34" s="378"/>
      <c r="Q34" s="366"/>
    </row>
    <row r="35" spans="1:18" ht="20.25" customHeight="1" x14ac:dyDescent="0.35">
      <c r="A35" s="364"/>
      <c r="B35" s="365"/>
      <c r="C35" s="365"/>
      <c r="D35" s="365"/>
      <c r="E35" s="365"/>
      <c r="F35" s="365"/>
      <c r="G35" s="365"/>
      <c r="H35" s="365"/>
      <c r="I35" s="251"/>
      <c r="J35" s="251"/>
      <c r="K35" s="377"/>
      <c r="L35" s="377"/>
      <c r="M35" s="381"/>
      <c r="N35" s="367"/>
      <c r="O35" s="368"/>
      <c r="P35" s="379"/>
      <c r="Q35" s="366"/>
    </row>
    <row r="36" spans="1:18" ht="20.25" customHeight="1" x14ac:dyDescent="0.35">
      <c r="A36" s="363">
        <v>4</v>
      </c>
      <c r="B36" s="365"/>
      <c r="C36" s="365"/>
      <c r="D36" s="365"/>
      <c r="E36" s="365"/>
      <c r="F36" s="365"/>
      <c r="G36" s="365"/>
      <c r="H36" s="365"/>
      <c r="I36" s="251" t="s">
        <v>109</v>
      </c>
      <c r="J36" s="251"/>
      <c r="K36" s="377"/>
      <c r="L36" s="377"/>
      <c r="M36" s="380"/>
      <c r="N36" s="367"/>
      <c r="O36" s="368"/>
      <c r="P36" s="378"/>
      <c r="Q36" s="366"/>
    </row>
    <row r="37" spans="1:18" ht="20.25" customHeight="1" x14ac:dyDescent="0.35">
      <c r="A37" s="364"/>
      <c r="B37" s="365"/>
      <c r="C37" s="365"/>
      <c r="D37" s="365"/>
      <c r="E37" s="365"/>
      <c r="F37" s="365"/>
      <c r="G37" s="365"/>
      <c r="H37" s="365"/>
      <c r="I37" s="251"/>
      <c r="J37" s="251"/>
      <c r="K37" s="377"/>
      <c r="L37" s="377"/>
      <c r="M37" s="381"/>
      <c r="N37" s="367"/>
      <c r="O37" s="368"/>
      <c r="P37" s="379"/>
      <c r="Q37" s="366"/>
    </row>
    <row r="38" spans="1:18" ht="20.25" customHeight="1" x14ac:dyDescent="0.35">
      <c r="A38" s="363">
        <v>5</v>
      </c>
      <c r="B38" s="365"/>
      <c r="C38" s="365"/>
      <c r="D38" s="365"/>
      <c r="E38" s="365"/>
      <c r="F38" s="365"/>
      <c r="G38" s="365"/>
      <c r="H38" s="365"/>
      <c r="I38" s="251" t="s">
        <v>109</v>
      </c>
      <c r="J38" s="251"/>
      <c r="K38" s="377"/>
      <c r="L38" s="377"/>
      <c r="M38" s="380"/>
      <c r="N38" s="367"/>
      <c r="O38" s="368"/>
      <c r="P38" s="378"/>
      <c r="Q38" s="366"/>
    </row>
    <row r="39" spans="1:18" ht="20.25" customHeight="1" x14ac:dyDescent="0.35">
      <c r="A39" s="364"/>
      <c r="B39" s="365"/>
      <c r="C39" s="365"/>
      <c r="D39" s="365"/>
      <c r="E39" s="365"/>
      <c r="F39" s="365"/>
      <c r="G39" s="365"/>
      <c r="H39" s="365"/>
      <c r="I39" s="251"/>
      <c r="J39" s="251"/>
      <c r="K39" s="377"/>
      <c r="L39" s="377"/>
      <c r="M39" s="381"/>
      <c r="N39" s="367"/>
      <c r="O39" s="368"/>
      <c r="P39" s="379"/>
      <c r="Q39" s="366"/>
    </row>
    <row r="40" spans="1:18" ht="20.25" customHeight="1" x14ac:dyDescent="0.35">
      <c r="A40" s="363">
        <v>6</v>
      </c>
      <c r="B40" s="365"/>
      <c r="C40" s="365"/>
      <c r="D40" s="365"/>
      <c r="E40" s="365"/>
      <c r="F40" s="365"/>
      <c r="G40" s="365"/>
      <c r="H40" s="365"/>
      <c r="I40" s="251" t="s">
        <v>109</v>
      </c>
      <c r="J40" s="251"/>
      <c r="K40" s="377"/>
      <c r="L40" s="377"/>
      <c r="M40" s="380"/>
      <c r="N40" s="367"/>
      <c r="O40" s="368"/>
      <c r="P40" s="378"/>
      <c r="Q40" s="366"/>
    </row>
    <row r="41" spans="1:18" ht="20.25" customHeight="1" x14ac:dyDescent="0.35">
      <c r="A41" s="364"/>
      <c r="B41" s="365"/>
      <c r="C41" s="365"/>
      <c r="D41" s="365"/>
      <c r="E41" s="365"/>
      <c r="F41" s="365"/>
      <c r="G41" s="365"/>
      <c r="H41" s="365"/>
      <c r="I41" s="251"/>
      <c r="J41" s="251"/>
      <c r="K41" s="377"/>
      <c r="L41" s="377"/>
      <c r="M41" s="381"/>
      <c r="N41" s="367"/>
      <c r="O41" s="368"/>
      <c r="P41" s="379"/>
      <c r="Q41" s="366"/>
    </row>
    <row r="42" spans="1:18" ht="20.25" customHeight="1" x14ac:dyDescent="0.35">
      <c r="A42" s="404">
        <v>7</v>
      </c>
      <c r="B42" s="365"/>
      <c r="C42" s="365"/>
      <c r="D42" s="365"/>
      <c r="E42" s="365"/>
      <c r="F42" s="365"/>
      <c r="G42" s="365"/>
      <c r="H42" s="365"/>
      <c r="I42" s="251" t="s">
        <v>109</v>
      </c>
      <c r="J42" s="251"/>
      <c r="K42" s="377"/>
      <c r="L42" s="377"/>
      <c r="M42" s="380"/>
      <c r="N42" s="367"/>
      <c r="O42" s="368"/>
      <c r="P42" s="378"/>
      <c r="Q42" s="366"/>
    </row>
    <row r="43" spans="1:18" ht="20.25" customHeight="1" x14ac:dyDescent="0.35">
      <c r="A43" s="405"/>
      <c r="B43" s="365"/>
      <c r="C43" s="365"/>
      <c r="D43" s="365"/>
      <c r="E43" s="365"/>
      <c r="F43" s="365"/>
      <c r="G43" s="365"/>
      <c r="H43" s="365"/>
      <c r="I43" s="251"/>
      <c r="J43" s="251"/>
      <c r="K43" s="377"/>
      <c r="L43" s="377"/>
      <c r="M43" s="381"/>
      <c r="N43" s="367"/>
      <c r="O43" s="368"/>
      <c r="P43" s="379"/>
      <c r="Q43" s="366"/>
    </row>
    <row r="44" spans="1:18" ht="20.25" customHeight="1" x14ac:dyDescent="0.35">
      <c r="A44" s="404">
        <v>8</v>
      </c>
      <c r="B44" s="252"/>
      <c r="C44" s="252"/>
      <c r="D44" s="252"/>
      <c r="E44" s="252"/>
      <c r="F44" s="257"/>
      <c r="G44" s="257"/>
      <c r="H44" s="257"/>
      <c r="I44" s="406" t="s">
        <v>109</v>
      </c>
      <c r="J44" s="406"/>
      <c r="K44" s="234"/>
      <c r="L44" s="234"/>
      <c r="M44" s="414"/>
      <c r="N44" s="236"/>
      <c r="O44" s="235"/>
      <c r="P44" s="408"/>
      <c r="Q44" s="407"/>
    </row>
    <row r="45" spans="1:18" ht="20.25" customHeight="1" x14ac:dyDescent="0.35">
      <c r="A45" s="405"/>
      <c r="B45" s="252"/>
      <c r="C45" s="252"/>
      <c r="D45" s="252"/>
      <c r="E45" s="257"/>
      <c r="F45" s="257"/>
      <c r="G45" s="257"/>
      <c r="H45" s="257"/>
      <c r="I45" s="406"/>
      <c r="J45" s="406"/>
      <c r="K45" s="234"/>
      <c r="L45" s="234"/>
      <c r="M45" s="415"/>
      <c r="N45" s="236"/>
      <c r="O45" s="235"/>
      <c r="P45" s="409"/>
      <c r="Q45" s="407"/>
    </row>
    <row r="46" spans="1:18" ht="12.75" customHeight="1" x14ac:dyDescent="0.35">
      <c r="A46" s="398" t="s">
        <v>110</v>
      </c>
      <c r="B46" s="399"/>
      <c r="C46" s="399"/>
      <c r="D46" s="399"/>
      <c r="E46" s="402" t="str">
        <f>IF(Q67&gt;0.1,"À tranportar","Total")</f>
        <v>Total</v>
      </c>
      <c r="F46" s="402"/>
      <c r="G46" s="402"/>
      <c r="H46" s="402"/>
      <c r="I46" s="402"/>
      <c r="J46" s="402"/>
      <c r="K46" s="402"/>
      <c r="L46" s="402"/>
      <c r="M46" s="402"/>
      <c r="N46" s="402"/>
      <c r="O46" s="402"/>
      <c r="P46" s="410">
        <f>SUM(Q30:Q45)</f>
        <v>0</v>
      </c>
      <c r="Q46" s="411"/>
    </row>
    <row r="47" spans="1:18" ht="12.75" customHeight="1" thickBot="1" x14ac:dyDescent="0.4">
      <c r="A47" s="400"/>
      <c r="B47" s="401"/>
      <c r="C47" s="401"/>
      <c r="D47" s="401"/>
      <c r="E47" s="403"/>
      <c r="F47" s="403"/>
      <c r="G47" s="403"/>
      <c r="H47" s="403"/>
      <c r="I47" s="403"/>
      <c r="J47" s="403"/>
      <c r="K47" s="403"/>
      <c r="L47" s="403"/>
      <c r="M47" s="403"/>
      <c r="N47" s="403"/>
      <c r="O47" s="403"/>
      <c r="P47" s="412"/>
      <c r="Q47" s="413"/>
      <c r="R47" s="11"/>
    </row>
    <row r="48" spans="1:18" ht="6.75" customHeight="1" thickTop="1" thickBot="1" x14ac:dyDescent="0.4">
      <c r="A48" s="12"/>
      <c r="B48" s="2"/>
      <c r="D48" s="396"/>
      <c r="E48" s="396"/>
      <c r="F48" s="396"/>
      <c r="G48" s="396"/>
      <c r="H48" s="396"/>
      <c r="I48" s="396"/>
      <c r="J48" s="396"/>
      <c r="K48" s="396"/>
      <c r="L48" s="396"/>
      <c r="M48" s="396"/>
      <c r="N48" s="396"/>
      <c r="O48" s="396"/>
      <c r="P48" s="396"/>
      <c r="Q48" s="397"/>
    </row>
    <row r="49" spans="1:17" ht="21" customHeight="1" thickTop="1" x14ac:dyDescent="0.35">
      <c r="A49" s="3" t="s">
        <v>111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5"/>
    </row>
    <row r="50" spans="1:17" ht="13.25" customHeight="1" x14ac:dyDescent="0.35">
      <c r="A50" s="393"/>
      <c r="B50" s="394"/>
      <c r="C50" s="394"/>
      <c r="D50" s="394"/>
      <c r="E50" s="394"/>
      <c r="F50" s="394"/>
      <c r="G50" s="394"/>
      <c r="H50" s="394"/>
      <c r="I50" s="394"/>
      <c r="J50" s="394"/>
      <c r="K50" s="394"/>
      <c r="L50" s="394"/>
      <c r="M50" s="394"/>
      <c r="N50" s="394"/>
      <c r="O50" s="394"/>
      <c r="P50" s="394"/>
      <c r="Q50" s="395"/>
    </row>
    <row r="51" spans="1:17" ht="20" customHeight="1" x14ac:dyDescent="0.35">
      <c r="A51" s="419" t="s">
        <v>112</v>
      </c>
      <c r="B51" s="420"/>
      <c r="C51" s="420"/>
      <c r="D51" s="420"/>
      <c r="E51" s="420"/>
      <c r="F51" s="420"/>
      <c r="G51" s="89"/>
      <c r="H51" s="420" t="str">
        <f>MEMORIA!A52</f>
        <v>ODETTE DOS SANTOS SACRAMENTO TERREZO FARDILHA</v>
      </c>
      <c r="I51" s="420"/>
      <c r="J51" s="420"/>
      <c r="K51" s="420"/>
      <c r="L51" s="420"/>
      <c r="M51" s="420"/>
      <c r="N51" s="420"/>
      <c r="O51" s="242"/>
      <c r="P51" s="242"/>
      <c r="Q51" s="243"/>
    </row>
    <row r="52" spans="1:17" ht="20" customHeight="1" thickBot="1" x14ac:dyDescent="0.4">
      <c r="A52" s="13"/>
      <c r="B52" s="416" t="s">
        <v>113</v>
      </c>
      <c r="C52" s="416"/>
      <c r="D52" s="416"/>
      <c r="E52" s="416"/>
      <c r="F52" s="416"/>
      <c r="G52" s="14"/>
      <c r="H52" s="417" t="s">
        <v>114</v>
      </c>
      <c r="I52" s="417"/>
      <c r="J52" s="417"/>
      <c r="K52" s="417"/>
      <c r="L52" s="417"/>
      <c r="M52" s="417"/>
      <c r="N52" s="417"/>
      <c r="O52" s="246" t="s">
        <v>115</v>
      </c>
      <c r="P52" s="246"/>
      <c r="Q52" s="418"/>
    </row>
    <row r="53" spans="1:17" ht="20" customHeight="1" thickTop="1" x14ac:dyDescent="0.35">
      <c r="A53" s="17"/>
      <c r="B53" s="63"/>
      <c r="C53" s="63"/>
      <c r="D53" s="63"/>
      <c r="E53" s="63"/>
      <c r="F53" s="63"/>
      <c r="G53" s="17"/>
      <c r="H53" s="63"/>
      <c r="I53" s="63"/>
      <c r="J53" s="63"/>
      <c r="K53" s="63"/>
      <c r="L53" s="63"/>
      <c r="M53" s="63"/>
      <c r="N53" s="63"/>
      <c r="O53" s="64"/>
      <c r="P53" s="64"/>
      <c r="Q53" s="65"/>
    </row>
    <row r="55" spans="1:17" ht="45.65" customHeight="1" x14ac:dyDescent="0.35"/>
    <row r="56" spans="1:17" ht="26" customHeight="1" x14ac:dyDescent="0.35"/>
    <row r="57" spans="1:17" x14ac:dyDescent="0.35">
      <c r="A57" s="279" t="s">
        <v>68</v>
      </c>
      <c r="B57" s="279"/>
      <c r="C57" s="279"/>
      <c r="D57" s="279"/>
      <c r="E57" s="279"/>
      <c r="F57" s="279"/>
      <c r="G57" s="279"/>
      <c r="H57" s="279"/>
    </row>
    <row r="58" spans="1:17" x14ac:dyDescent="0.35">
      <c r="A58" s="279"/>
      <c r="B58" s="279"/>
      <c r="C58" s="279"/>
      <c r="D58" s="279"/>
      <c r="E58" s="279"/>
      <c r="F58" s="279"/>
      <c r="G58" s="279"/>
      <c r="H58" s="279"/>
    </row>
    <row r="59" spans="1:17" x14ac:dyDescent="0.35">
      <c r="A59" s="279"/>
      <c r="B59" s="279"/>
      <c r="C59" s="279"/>
      <c r="D59" s="279"/>
      <c r="E59" s="279"/>
      <c r="F59" s="279"/>
      <c r="G59" s="279"/>
      <c r="H59" s="279"/>
    </row>
    <row r="62" spans="1:17" ht="15.5" x14ac:dyDescent="0.35">
      <c r="A62" s="280" t="s">
        <v>116</v>
      </c>
      <c r="B62" s="281"/>
      <c r="C62" s="281"/>
      <c r="D62" s="281"/>
      <c r="E62" s="282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5"/>
    </row>
    <row r="63" spans="1:17" ht="15.5" x14ac:dyDescent="0.35">
      <c r="A63" s="283" t="s">
        <v>96</v>
      </c>
      <c r="B63" s="285" t="s">
        <v>97</v>
      </c>
      <c r="C63" s="286"/>
      <c r="D63" s="287"/>
      <c r="E63" s="291" t="s">
        <v>117</v>
      </c>
      <c r="F63" s="292"/>
      <c r="G63" s="292"/>
      <c r="H63" s="293"/>
      <c r="I63" s="294" t="s">
        <v>99</v>
      </c>
      <c r="J63" s="295"/>
      <c r="K63" s="298" t="s">
        <v>100</v>
      </c>
      <c r="L63" s="300" t="s">
        <v>101</v>
      </c>
      <c r="M63" s="301"/>
      <c r="N63" s="302"/>
      <c r="O63" s="303" t="s">
        <v>102</v>
      </c>
      <c r="P63" s="303"/>
      <c r="Q63" s="304"/>
    </row>
    <row r="64" spans="1:17" ht="15.5" x14ac:dyDescent="0.35">
      <c r="A64" s="284"/>
      <c r="B64" s="288"/>
      <c r="C64" s="289"/>
      <c r="D64" s="290"/>
      <c r="E64" s="306" t="s">
        <v>118</v>
      </c>
      <c r="F64" s="307"/>
      <c r="G64" s="307"/>
      <c r="H64" s="308"/>
      <c r="I64" s="296"/>
      <c r="J64" s="297"/>
      <c r="K64" s="299"/>
      <c r="L64" s="6" t="s">
        <v>105</v>
      </c>
      <c r="M64" s="10" t="s">
        <v>106</v>
      </c>
      <c r="N64" s="7" t="s">
        <v>107</v>
      </c>
      <c r="O64" s="8" t="s">
        <v>108</v>
      </c>
      <c r="P64" s="8" t="s">
        <v>107</v>
      </c>
      <c r="Q64" s="305"/>
    </row>
    <row r="65" spans="1:17" ht="15.5" x14ac:dyDescent="0.35">
      <c r="A65" s="258"/>
      <c r="B65" s="260"/>
      <c r="C65" s="261"/>
      <c r="D65" s="262"/>
      <c r="E65" s="261"/>
      <c r="F65" s="261"/>
      <c r="G65" s="261"/>
      <c r="H65" s="261"/>
      <c r="I65" s="260"/>
      <c r="J65" s="262"/>
      <c r="K65" s="266"/>
      <c r="L65" s="266"/>
      <c r="M65" s="268"/>
      <c r="N65" s="270"/>
      <c r="O65" s="272" t="s">
        <v>119</v>
      </c>
      <c r="P65" s="273"/>
      <c r="Q65" s="15"/>
    </row>
    <row r="66" spans="1:17" ht="15.5" x14ac:dyDescent="0.35">
      <c r="A66" s="259"/>
      <c r="B66" s="263"/>
      <c r="C66" s="264"/>
      <c r="D66" s="265"/>
      <c r="E66" s="264"/>
      <c r="F66" s="264"/>
      <c r="G66" s="264"/>
      <c r="H66" s="264"/>
      <c r="I66" s="263"/>
      <c r="J66" s="265"/>
      <c r="K66" s="267"/>
      <c r="L66" s="267"/>
      <c r="M66" s="269"/>
      <c r="N66" s="271"/>
      <c r="O66" s="274"/>
      <c r="P66" s="275"/>
      <c r="Q66" s="90">
        <f>P46</f>
        <v>0</v>
      </c>
    </row>
    <row r="67" spans="1:17" x14ac:dyDescent="0.35">
      <c r="A67" s="255">
        <v>9</v>
      </c>
      <c r="B67" s="252"/>
      <c r="C67" s="252"/>
      <c r="D67" s="252"/>
      <c r="E67" s="252"/>
      <c r="F67" s="252"/>
      <c r="G67" s="252"/>
      <c r="H67" s="252"/>
      <c r="I67" s="251" t="s">
        <v>109</v>
      </c>
      <c r="J67" s="251"/>
      <c r="K67" s="234"/>
      <c r="L67" s="234"/>
      <c r="M67" s="235"/>
      <c r="N67" s="236"/>
      <c r="O67" s="235"/>
      <c r="P67" s="236"/>
      <c r="Q67" s="238"/>
    </row>
    <row r="68" spans="1:17" x14ac:dyDescent="0.35">
      <c r="A68" s="255"/>
      <c r="B68" s="252"/>
      <c r="C68" s="252"/>
      <c r="D68" s="252"/>
      <c r="E68" s="252"/>
      <c r="F68" s="252"/>
      <c r="G68" s="252"/>
      <c r="H68" s="252"/>
      <c r="I68" s="251"/>
      <c r="J68" s="251"/>
      <c r="K68" s="234"/>
      <c r="L68" s="234"/>
      <c r="M68" s="235"/>
      <c r="N68" s="236"/>
      <c r="O68" s="235"/>
      <c r="P68" s="236"/>
      <c r="Q68" s="238"/>
    </row>
    <row r="69" spans="1:17" x14ac:dyDescent="0.35">
      <c r="A69" s="255">
        <v>10</v>
      </c>
      <c r="B69" s="252"/>
      <c r="C69" s="252"/>
      <c r="D69" s="252"/>
      <c r="E69" s="252"/>
      <c r="F69" s="257"/>
      <c r="G69" s="257"/>
      <c r="H69" s="257"/>
      <c r="I69" s="251" t="s">
        <v>109</v>
      </c>
      <c r="J69" s="251"/>
      <c r="K69" s="234"/>
      <c r="L69" s="234"/>
      <c r="M69" s="235"/>
      <c r="N69" s="236"/>
      <c r="O69" s="235"/>
      <c r="P69" s="236"/>
      <c r="Q69" s="238"/>
    </row>
    <row r="70" spans="1:17" x14ac:dyDescent="0.35">
      <c r="A70" s="255"/>
      <c r="B70" s="252"/>
      <c r="C70" s="252"/>
      <c r="D70" s="252"/>
      <c r="E70" s="257"/>
      <c r="F70" s="257"/>
      <c r="G70" s="257"/>
      <c r="H70" s="257"/>
      <c r="I70" s="251"/>
      <c r="J70" s="251"/>
      <c r="K70" s="234"/>
      <c r="L70" s="234"/>
      <c r="M70" s="235"/>
      <c r="N70" s="236"/>
      <c r="O70" s="235"/>
      <c r="P70" s="236"/>
      <c r="Q70" s="238"/>
    </row>
    <row r="71" spans="1:17" x14ac:dyDescent="0.35">
      <c r="A71" s="255">
        <v>11</v>
      </c>
      <c r="B71" s="252"/>
      <c r="C71" s="252"/>
      <c r="D71" s="252"/>
      <c r="E71" s="252"/>
      <c r="F71" s="252"/>
      <c r="G71" s="252"/>
      <c r="H71" s="252"/>
      <c r="I71" s="251" t="s">
        <v>109</v>
      </c>
      <c r="J71" s="251"/>
      <c r="K71" s="234"/>
      <c r="L71" s="234"/>
      <c r="M71" s="235"/>
      <c r="N71" s="236"/>
      <c r="O71" s="235"/>
      <c r="P71" s="236"/>
      <c r="Q71" s="238"/>
    </row>
    <row r="72" spans="1:17" x14ac:dyDescent="0.35">
      <c r="A72" s="255"/>
      <c r="B72" s="252"/>
      <c r="C72" s="252"/>
      <c r="D72" s="252"/>
      <c r="E72" s="252"/>
      <c r="F72" s="252"/>
      <c r="G72" s="252"/>
      <c r="H72" s="252"/>
      <c r="I72" s="251"/>
      <c r="J72" s="251"/>
      <c r="K72" s="234"/>
      <c r="L72" s="234"/>
      <c r="M72" s="235"/>
      <c r="N72" s="236"/>
      <c r="O72" s="235"/>
      <c r="P72" s="236"/>
      <c r="Q72" s="238"/>
    </row>
    <row r="73" spans="1:17" x14ac:dyDescent="0.35">
      <c r="A73" s="255">
        <v>12</v>
      </c>
      <c r="B73" s="252"/>
      <c r="C73" s="252"/>
      <c r="D73" s="252"/>
      <c r="E73" s="252"/>
      <c r="F73" s="252"/>
      <c r="G73" s="252"/>
      <c r="H73" s="252"/>
      <c r="I73" s="251" t="s">
        <v>109</v>
      </c>
      <c r="J73" s="251"/>
      <c r="K73" s="234"/>
      <c r="L73" s="234"/>
      <c r="M73" s="235"/>
      <c r="N73" s="236"/>
      <c r="O73" s="235"/>
      <c r="P73" s="236"/>
      <c r="Q73" s="238"/>
    </row>
    <row r="74" spans="1:17" x14ac:dyDescent="0.35">
      <c r="A74" s="255"/>
      <c r="B74" s="252"/>
      <c r="C74" s="252"/>
      <c r="D74" s="252"/>
      <c r="E74" s="252"/>
      <c r="F74" s="252"/>
      <c r="G74" s="252"/>
      <c r="H74" s="252"/>
      <c r="I74" s="251"/>
      <c r="J74" s="251"/>
      <c r="K74" s="234"/>
      <c r="L74" s="234"/>
      <c r="M74" s="235"/>
      <c r="N74" s="236"/>
      <c r="O74" s="235"/>
      <c r="P74" s="236"/>
      <c r="Q74" s="238"/>
    </row>
    <row r="75" spans="1:17" x14ac:dyDescent="0.35">
      <c r="A75" s="255">
        <v>13</v>
      </c>
      <c r="B75" s="252"/>
      <c r="C75" s="252"/>
      <c r="D75" s="252"/>
      <c r="E75" s="252"/>
      <c r="F75" s="252"/>
      <c r="G75" s="252"/>
      <c r="H75" s="252"/>
      <c r="I75" s="251" t="s">
        <v>109</v>
      </c>
      <c r="J75" s="251"/>
      <c r="K75" s="234"/>
      <c r="L75" s="234"/>
      <c r="M75" s="235"/>
      <c r="N75" s="236"/>
      <c r="O75" s="235"/>
      <c r="P75" s="236"/>
      <c r="Q75" s="238"/>
    </row>
    <row r="76" spans="1:17" x14ac:dyDescent="0.35">
      <c r="A76" s="421"/>
      <c r="B76" s="252"/>
      <c r="C76" s="252"/>
      <c r="D76" s="252"/>
      <c r="E76" s="256"/>
      <c r="F76" s="256"/>
      <c r="G76" s="256"/>
      <c r="H76" s="256"/>
      <c r="I76" s="251"/>
      <c r="J76" s="251"/>
      <c r="K76" s="234"/>
      <c r="L76" s="234"/>
      <c r="M76" s="235"/>
      <c r="N76" s="236"/>
      <c r="O76" s="235"/>
      <c r="P76" s="236"/>
      <c r="Q76" s="238"/>
    </row>
    <row r="77" spans="1:17" x14ac:dyDescent="0.35">
      <c r="A77" s="255">
        <v>14</v>
      </c>
      <c r="B77" s="252"/>
      <c r="C77" s="252"/>
      <c r="D77" s="252"/>
      <c r="E77" s="252"/>
      <c r="F77" s="252"/>
      <c r="G77" s="252"/>
      <c r="H77" s="252"/>
      <c r="I77" s="251" t="s">
        <v>109</v>
      </c>
      <c r="J77" s="251"/>
      <c r="K77" s="234"/>
      <c r="L77" s="234"/>
      <c r="M77" s="235"/>
      <c r="N77" s="236"/>
      <c r="O77" s="235"/>
      <c r="P77" s="236"/>
      <c r="Q77" s="238"/>
    </row>
    <row r="78" spans="1:17" x14ac:dyDescent="0.35">
      <c r="A78" s="421"/>
      <c r="B78" s="252"/>
      <c r="C78" s="252"/>
      <c r="D78" s="252"/>
      <c r="E78" s="252"/>
      <c r="F78" s="252"/>
      <c r="G78" s="252"/>
      <c r="H78" s="252"/>
      <c r="I78" s="251"/>
      <c r="J78" s="251"/>
      <c r="K78" s="234"/>
      <c r="L78" s="234"/>
      <c r="M78" s="235"/>
      <c r="N78" s="236"/>
      <c r="O78" s="235"/>
      <c r="P78" s="236"/>
      <c r="Q78" s="238"/>
    </row>
    <row r="79" spans="1:17" x14ac:dyDescent="0.35">
      <c r="A79" s="255">
        <v>15</v>
      </c>
      <c r="B79" s="252"/>
      <c r="C79" s="252"/>
      <c r="D79" s="252"/>
      <c r="E79" s="252"/>
      <c r="F79" s="252"/>
      <c r="G79" s="252"/>
      <c r="H79" s="252"/>
      <c r="I79" s="251" t="s">
        <v>109</v>
      </c>
      <c r="J79" s="251"/>
      <c r="K79" s="234"/>
      <c r="L79" s="234"/>
      <c r="M79" s="235"/>
      <c r="N79" s="236"/>
      <c r="O79" s="235"/>
      <c r="P79" s="236"/>
      <c r="Q79" s="238"/>
    </row>
    <row r="80" spans="1:17" x14ac:dyDescent="0.35">
      <c r="A80" s="421"/>
      <c r="B80" s="252"/>
      <c r="C80" s="252"/>
      <c r="D80" s="252"/>
      <c r="E80" s="252"/>
      <c r="F80" s="252"/>
      <c r="G80" s="252"/>
      <c r="H80" s="252"/>
      <c r="I80" s="251"/>
      <c r="J80" s="251"/>
      <c r="K80" s="234"/>
      <c r="L80" s="234"/>
      <c r="M80" s="235"/>
      <c r="N80" s="236"/>
      <c r="O80" s="235"/>
      <c r="P80" s="236"/>
      <c r="Q80" s="238"/>
    </row>
    <row r="81" spans="1:17" x14ac:dyDescent="0.35">
      <c r="A81" s="255">
        <v>16</v>
      </c>
      <c r="B81" s="252"/>
      <c r="C81" s="252"/>
      <c r="D81" s="252"/>
      <c r="E81" s="252"/>
      <c r="F81" s="252"/>
      <c r="G81" s="252"/>
      <c r="H81" s="252"/>
      <c r="I81" s="251" t="s">
        <v>109</v>
      </c>
      <c r="J81" s="251"/>
      <c r="K81" s="234"/>
      <c r="L81" s="234"/>
      <c r="M81" s="235"/>
      <c r="N81" s="236"/>
      <c r="O81" s="235"/>
      <c r="P81" s="236"/>
      <c r="Q81" s="237"/>
    </row>
    <row r="82" spans="1:17" x14ac:dyDescent="0.35">
      <c r="A82" s="421"/>
      <c r="B82" s="252"/>
      <c r="C82" s="252"/>
      <c r="D82" s="252"/>
      <c r="E82" s="252"/>
      <c r="F82" s="252"/>
      <c r="G82" s="252"/>
      <c r="H82" s="252"/>
      <c r="I82" s="251"/>
      <c r="J82" s="251"/>
      <c r="K82" s="234"/>
      <c r="L82" s="234"/>
      <c r="M82" s="235"/>
      <c r="N82" s="236"/>
      <c r="O82" s="235"/>
      <c r="P82" s="236"/>
      <c r="Q82" s="237"/>
    </row>
    <row r="83" spans="1:17" x14ac:dyDescent="0.35">
      <c r="A83" s="248">
        <v>17</v>
      </c>
      <c r="B83" s="252"/>
      <c r="C83" s="252"/>
      <c r="D83" s="252"/>
      <c r="E83" s="252"/>
      <c r="F83" s="252"/>
      <c r="G83" s="252"/>
      <c r="H83" s="252"/>
      <c r="I83" s="251" t="s">
        <v>109</v>
      </c>
      <c r="J83" s="251"/>
      <c r="K83" s="234"/>
      <c r="L83" s="234"/>
      <c r="M83" s="235"/>
      <c r="N83" s="236"/>
      <c r="O83" s="235"/>
      <c r="P83" s="236"/>
      <c r="Q83" s="237"/>
    </row>
    <row r="84" spans="1:17" x14ac:dyDescent="0.35">
      <c r="A84" s="249"/>
      <c r="B84" s="252"/>
      <c r="C84" s="252"/>
      <c r="D84" s="252"/>
      <c r="E84" s="252"/>
      <c r="F84" s="252"/>
      <c r="G84" s="252"/>
      <c r="H84" s="252"/>
      <c r="I84" s="251"/>
      <c r="J84" s="251"/>
      <c r="K84" s="234"/>
      <c r="L84" s="234"/>
      <c r="M84" s="235"/>
      <c r="N84" s="236"/>
      <c r="O84" s="235"/>
      <c r="P84" s="236"/>
      <c r="Q84" s="237"/>
    </row>
    <row r="85" spans="1:17" x14ac:dyDescent="0.35">
      <c r="A85" s="248">
        <v>18</v>
      </c>
      <c r="B85" s="252"/>
      <c r="C85" s="252"/>
      <c r="D85" s="252"/>
      <c r="E85" s="252"/>
      <c r="F85" s="252"/>
      <c r="G85" s="252"/>
      <c r="H85" s="252"/>
      <c r="I85" s="251" t="s">
        <v>109</v>
      </c>
      <c r="J85" s="251"/>
      <c r="K85" s="234"/>
      <c r="L85" s="234"/>
      <c r="M85" s="235"/>
      <c r="N85" s="236"/>
      <c r="O85" s="235"/>
      <c r="P85" s="236"/>
      <c r="Q85" s="237"/>
    </row>
    <row r="86" spans="1:17" x14ac:dyDescent="0.35">
      <c r="A86" s="249"/>
      <c r="B86" s="252"/>
      <c r="C86" s="252"/>
      <c r="D86" s="252"/>
      <c r="E86" s="252"/>
      <c r="F86" s="252"/>
      <c r="G86" s="252"/>
      <c r="H86" s="252"/>
      <c r="I86" s="251"/>
      <c r="J86" s="251"/>
      <c r="K86" s="234"/>
      <c r="L86" s="234"/>
      <c r="M86" s="235"/>
      <c r="N86" s="236"/>
      <c r="O86" s="235"/>
      <c r="P86" s="236"/>
      <c r="Q86" s="237"/>
    </row>
    <row r="87" spans="1:17" ht="14.4" customHeight="1" x14ac:dyDescent="0.35">
      <c r="A87" s="248">
        <v>19</v>
      </c>
      <c r="B87" s="250"/>
      <c r="C87" s="250"/>
      <c r="D87" s="250"/>
      <c r="E87" s="250"/>
      <c r="F87" s="250"/>
      <c r="G87" s="250"/>
      <c r="H87" s="250"/>
      <c r="I87" s="251" t="s">
        <v>109</v>
      </c>
      <c r="J87" s="251"/>
      <c r="K87" s="234"/>
      <c r="L87" s="234"/>
      <c r="M87" s="235"/>
      <c r="N87" s="236"/>
      <c r="O87" s="235"/>
      <c r="P87" s="236"/>
      <c r="Q87" s="237"/>
    </row>
    <row r="88" spans="1:17" ht="14.4" customHeight="1" x14ac:dyDescent="0.35">
      <c r="A88" s="249"/>
      <c r="B88" s="250"/>
      <c r="C88" s="250"/>
      <c r="D88" s="250"/>
      <c r="E88" s="250"/>
      <c r="F88" s="250"/>
      <c r="G88" s="250"/>
      <c r="H88" s="250"/>
      <c r="I88" s="251"/>
      <c r="J88" s="251"/>
      <c r="K88" s="234"/>
      <c r="L88" s="234"/>
      <c r="M88" s="235"/>
      <c r="N88" s="236"/>
      <c r="O88" s="235"/>
      <c r="P88" s="236"/>
      <c r="Q88" s="237"/>
    </row>
    <row r="89" spans="1:17" ht="14.4" customHeight="1" x14ac:dyDescent="0.35">
      <c r="A89" s="248">
        <v>20</v>
      </c>
      <c r="B89" s="250"/>
      <c r="C89" s="250"/>
      <c r="D89" s="250"/>
      <c r="E89" s="250"/>
      <c r="F89" s="250"/>
      <c r="G89" s="250"/>
      <c r="H89" s="250"/>
      <c r="I89" s="251" t="s">
        <v>109</v>
      </c>
      <c r="J89" s="251"/>
      <c r="K89" s="234"/>
      <c r="L89" s="234"/>
      <c r="M89" s="235"/>
      <c r="N89" s="236"/>
      <c r="O89" s="235"/>
      <c r="P89" s="236"/>
      <c r="Q89" s="237"/>
    </row>
    <row r="90" spans="1:17" ht="14.4" customHeight="1" x14ac:dyDescent="0.35">
      <c r="A90" s="249"/>
      <c r="B90" s="250"/>
      <c r="C90" s="250"/>
      <c r="D90" s="250"/>
      <c r="E90" s="250"/>
      <c r="F90" s="250"/>
      <c r="G90" s="250"/>
      <c r="H90" s="250"/>
      <c r="I90" s="251"/>
      <c r="J90" s="251"/>
      <c r="K90" s="234"/>
      <c r="L90" s="234"/>
      <c r="M90" s="235"/>
      <c r="N90" s="236"/>
      <c r="O90" s="235"/>
      <c r="P90" s="236"/>
      <c r="Q90" s="237"/>
    </row>
    <row r="91" spans="1:17" x14ac:dyDescent="0.35">
      <c r="A91" s="248">
        <v>21</v>
      </c>
      <c r="B91" s="250"/>
      <c r="C91" s="250"/>
      <c r="D91" s="250"/>
      <c r="E91" s="250"/>
      <c r="F91" s="250"/>
      <c r="G91" s="250"/>
      <c r="H91" s="250"/>
      <c r="I91" s="251" t="s">
        <v>109</v>
      </c>
      <c r="J91" s="251"/>
      <c r="K91" s="234"/>
      <c r="L91" s="234"/>
      <c r="M91" s="235"/>
      <c r="N91" s="236"/>
      <c r="O91" s="235"/>
      <c r="P91" s="236"/>
      <c r="Q91" s="237"/>
    </row>
    <row r="92" spans="1:17" x14ac:dyDescent="0.35">
      <c r="A92" s="249"/>
      <c r="B92" s="250"/>
      <c r="C92" s="250"/>
      <c r="D92" s="250"/>
      <c r="E92" s="250"/>
      <c r="F92" s="250"/>
      <c r="G92" s="250"/>
      <c r="H92" s="250"/>
      <c r="I92" s="251"/>
      <c r="J92" s="251"/>
      <c r="K92" s="234"/>
      <c r="L92" s="234"/>
      <c r="M92" s="235"/>
      <c r="N92" s="236"/>
      <c r="O92" s="235"/>
      <c r="P92" s="236"/>
      <c r="Q92" s="237"/>
    </row>
    <row r="93" spans="1:17" x14ac:dyDescent="0.35">
      <c r="A93" s="248">
        <v>22</v>
      </c>
      <c r="B93" s="250"/>
      <c r="C93" s="250"/>
      <c r="D93" s="250"/>
      <c r="E93" s="250"/>
      <c r="F93" s="250"/>
      <c r="G93" s="250"/>
      <c r="H93" s="250"/>
      <c r="I93" s="251" t="s">
        <v>109</v>
      </c>
      <c r="J93" s="251"/>
      <c r="K93" s="234"/>
      <c r="L93" s="234"/>
      <c r="M93" s="235"/>
      <c r="N93" s="236"/>
      <c r="O93" s="235"/>
      <c r="P93" s="236"/>
      <c r="Q93" s="237"/>
    </row>
    <row r="94" spans="1:17" x14ac:dyDescent="0.35">
      <c r="A94" s="249"/>
      <c r="B94" s="250"/>
      <c r="C94" s="250"/>
      <c r="D94" s="250"/>
      <c r="E94" s="250"/>
      <c r="F94" s="250"/>
      <c r="G94" s="250"/>
      <c r="H94" s="250"/>
      <c r="I94" s="251"/>
      <c r="J94" s="251"/>
      <c r="K94" s="234"/>
      <c r="L94" s="234"/>
      <c r="M94" s="235"/>
      <c r="N94" s="236"/>
      <c r="O94" s="235"/>
      <c r="P94" s="236"/>
      <c r="Q94" s="237"/>
    </row>
    <row r="95" spans="1:17" x14ac:dyDescent="0.35">
      <c r="A95" s="248">
        <v>23</v>
      </c>
      <c r="B95" s="250"/>
      <c r="C95" s="250"/>
      <c r="D95" s="250"/>
      <c r="E95" s="250"/>
      <c r="F95" s="250"/>
      <c r="G95" s="250"/>
      <c r="H95" s="250"/>
      <c r="I95" s="251" t="s">
        <v>109</v>
      </c>
      <c r="J95" s="251"/>
      <c r="K95" s="234"/>
      <c r="L95" s="234"/>
      <c r="M95" s="235"/>
      <c r="N95" s="236"/>
      <c r="O95" s="235"/>
      <c r="P95" s="236"/>
      <c r="Q95" s="237"/>
    </row>
    <row r="96" spans="1:17" x14ac:dyDescent="0.35">
      <c r="A96" s="249"/>
      <c r="B96" s="250"/>
      <c r="C96" s="250"/>
      <c r="D96" s="250"/>
      <c r="E96" s="250"/>
      <c r="F96" s="250"/>
      <c r="G96" s="250"/>
      <c r="H96" s="250"/>
      <c r="I96" s="251"/>
      <c r="J96" s="251"/>
      <c r="K96" s="234"/>
      <c r="L96" s="234"/>
      <c r="M96" s="235"/>
      <c r="N96" s="236"/>
      <c r="O96" s="235"/>
      <c r="P96" s="236"/>
      <c r="Q96" s="237"/>
    </row>
    <row r="97" spans="1:17" x14ac:dyDescent="0.35">
      <c r="A97" s="248">
        <v>24</v>
      </c>
      <c r="B97" s="250"/>
      <c r="C97" s="250"/>
      <c r="D97" s="250"/>
      <c r="E97" s="250"/>
      <c r="F97" s="250"/>
      <c r="G97" s="250"/>
      <c r="H97" s="250"/>
      <c r="I97" s="251" t="s">
        <v>109</v>
      </c>
      <c r="J97" s="251"/>
      <c r="K97" s="234"/>
      <c r="L97" s="234"/>
      <c r="M97" s="235"/>
      <c r="N97" s="236"/>
      <c r="O97" s="235"/>
      <c r="P97" s="236"/>
      <c r="Q97" s="237"/>
    </row>
    <row r="98" spans="1:17" x14ac:dyDescent="0.35">
      <c r="A98" s="249"/>
      <c r="B98" s="250"/>
      <c r="C98" s="250"/>
      <c r="D98" s="250"/>
      <c r="E98" s="250"/>
      <c r="F98" s="250"/>
      <c r="G98" s="250"/>
      <c r="H98" s="250"/>
      <c r="I98" s="251"/>
      <c r="J98" s="251"/>
      <c r="K98" s="234"/>
      <c r="L98" s="234"/>
      <c r="M98" s="235"/>
      <c r="N98" s="236"/>
      <c r="O98" s="235"/>
      <c r="P98" s="236"/>
      <c r="Q98" s="237"/>
    </row>
    <row r="99" spans="1:17" x14ac:dyDescent="0.35">
      <c r="A99" s="248">
        <v>25</v>
      </c>
      <c r="B99" s="250"/>
      <c r="C99" s="250"/>
      <c r="D99" s="250"/>
      <c r="E99" s="250"/>
      <c r="F99" s="250"/>
      <c r="G99" s="250"/>
      <c r="H99" s="250"/>
      <c r="I99" s="251" t="s">
        <v>109</v>
      </c>
      <c r="J99" s="251"/>
      <c r="K99" s="234"/>
      <c r="L99" s="234"/>
      <c r="M99" s="235"/>
      <c r="N99" s="236"/>
      <c r="O99" s="235"/>
      <c r="P99" s="236"/>
      <c r="Q99" s="237"/>
    </row>
    <row r="100" spans="1:17" x14ac:dyDescent="0.35">
      <c r="A100" s="249"/>
      <c r="B100" s="250"/>
      <c r="C100" s="250"/>
      <c r="D100" s="250"/>
      <c r="E100" s="250"/>
      <c r="F100" s="250"/>
      <c r="G100" s="250"/>
      <c r="H100" s="250"/>
      <c r="I100" s="251"/>
      <c r="J100" s="251"/>
      <c r="K100" s="234"/>
      <c r="L100" s="234"/>
      <c r="M100" s="235"/>
      <c r="N100" s="236"/>
      <c r="O100" s="235"/>
      <c r="P100" s="236"/>
      <c r="Q100" s="237"/>
    </row>
    <row r="101" spans="1:17" x14ac:dyDescent="0.35">
      <c r="A101" s="248">
        <v>26</v>
      </c>
      <c r="B101" s="250"/>
      <c r="C101" s="250"/>
      <c r="D101" s="250"/>
      <c r="E101" s="250"/>
      <c r="F101" s="250"/>
      <c r="G101" s="250"/>
      <c r="H101" s="250"/>
      <c r="I101" s="251" t="s">
        <v>109</v>
      </c>
      <c r="J101" s="251"/>
      <c r="K101" s="234"/>
      <c r="L101" s="234"/>
      <c r="M101" s="235"/>
      <c r="N101" s="236"/>
      <c r="O101" s="235"/>
      <c r="P101" s="236"/>
      <c r="Q101" s="237"/>
    </row>
    <row r="102" spans="1:17" x14ac:dyDescent="0.35">
      <c r="A102" s="249"/>
      <c r="B102" s="250"/>
      <c r="C102" s="250"/>
      <c r="D102" s="250"/>
      <c r="E102" s="250"/>
      <c r="F102" s="250"/>
      <c r="G102" s="250"/>
      <c r="H102" s="250"/>
      <c r="I102" s="251"/>
      <c r="J102" s="251"/>
      <c r="K102" s="234"/>
      <c r="L102" s="234"/>
      <c r="M102" s="235"/>
      <c r="N102" s="236"/>
      <c r="O102" s="235"/>
      <c r="P102" s="236"/>
      <c r="Q102" s="237"/>
    </row>
    <row r="103" spans="1:17" ht="15.5" x14ac:dyDescent="0.35">
      <c r="A103" s="18" t="s">
        <v>110</v>
      </c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20"/>
      <c r="N103" s="19"/>
      <c r="O103" s="239" t="s">
        <v>120</v>
      </c>
      <c r="P103" s="240"/>
      <c r="Q103" s="91">
        <f>SUM(Q66:Q102)</f>
        <v>0</v>
      </c>
    </row>
    <row r="104" spans="1:17" x14ac:dyDescent="0.35">
      <c r="A104" s="12"/>
      <c r="B104" s="2"/>
      <c r="G104" s="2"/>
      <c r="L104" s="2"/>
      <c r="M104" s="2"/>
      <c r="N104" s="2"/>
      <c r="O104" s="2"/>
      <c r="P104" s="2"/>
      <c r="Q104" s="21"/>
    </row>
    <row r="105" spans="1:17" ht="15.5" x14ac:dyDescent="0.35">
      <c r="A105" s="3" t="s">
        <v>111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5"/>
    </row>
    <row r="106" spans="1:17" ht="15.5" x14ac:dyDescent="0.35">
      <c r="A106" s="22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5"/>
    </row>
    <row r="107" spans="1:17" ht="15.5" x14ac:dyDescent="0.35">
      <c r="A107" s="23"/>
      <c r="B107" s="92" t="str">
        <f>A51</f>
        <v>Rio de Janeiro, 31 de dezembro  de 2026.</v>
      </c>
      <c r="C107" s="92"/>
      <c r="D107" s="92"/>
      <c r="E107" s="92"/>
      <c r="F107" s="92"/>
      <c r="G107" s="89"/>
      <c r="H107" s="241" t="str">
        <f>H51</f>
        <v>ODETTE DOS SANTOS SACRAMENTO TERREZO FARDILHA</v>
      </c>
      <c r="I107" s="241"/>
      <c r="J107" s="241"/>
      <c r="K107" s="241"/>
      <c r="L107" s="241"/>
      <c r="M107" s="241"/>
      <c r="N107" s="17"/>
      <c r="O107" s="242"/>
      <c r="P107" s="242"/>
      <c r="Q107" s="243"/>
    </row>
    <row r="108" spans="1:17" ht="16" thickBot="1" x14ac:dyDescent="0.4">
      <c r="A108" s="13"/>
      <c r="B108" s="244" t="s">
        <v>113</v>
      </c>
      <c r="C108" s="244"/>
      <c r="D108" s="244"/>
      <c r="E108" s="244"/>
      <c r="F108" s="244"/>
      <c r="G108" s="14"/>
      <c r="H108" s="245" t="s">
        <v>114</v>
      </c>
      <c r="I108" s="245"/>
      <c r="J108" s="245"/>
      <c r="K108" s="245"/>
      <c r="L108" s="245"/>
      <c r="M108" s="245"/>
      <c r="N108" s="14"/>
      <c r="O108" s="246" t="s">
        <v>115</v>
      </c>
      <c r="P108" s="246"/>
      <c r="Q108" s="247"/>
    </row>
    <row r="109" spans="1:17" ht="15" thickTop="1" x14ac:dyDescent="0.35"/>
    <row r="111" spans="1:17" ht="44" customHeight="1" x14ac:dyDescent="0.35"/>
    <row r="112" spans="1:17" x14ac:dyDescent="0.35">
      <c r="A112" s="279" t="s">
        <v>68</v>
      </c>
      <c r="B112" s="279"/>
      <c r="C112" s="279"/>
      <c r="D112" s="279"/>
      <c r="E112" s="279"/>
      <c r="F112" s="279"/>
      <c r="G112" s="279"/>
      <c r="H112" s="279"/>
    </row>
    <row r="113" spans="1:17" x14ac:dyDescent="0.35">
      <c r="A113" s="279"/>
      <c r="B113" s="279"/>
      <c r="C113" s="279"/>
      <c r="D113" s="279"/>
      <c r="E113" s="279"/>
      <c r="F113" s="279"/>
      <c r="G113" s="279"/>
      <c r="H113" s="279"/>
    </row>
    <row r="114" spans="1:17" x14ac:dyDescent="0.35">
      <c r="A114" s="279"/>
      <c r="B114" s="279"/>
      <c r="C114" s="279"/>
      <c r="D114" s="279"/>
      <c r="E114" s="279"/>
      <c r="F114" s="279"/>
      <c r="G114" s="279"/>
      <c r="H114" s="279"/>
    </row>
    <row r="116" spans="1:17" ht="15" thickBot="1" x14ac:dyDescent="0.4"/>
    <row r="117" spans="1:17" ht="16" thickTop="1" x14ac:dyDescent="0.35">
      <c r="A117" s="280" t="s">
        <v>116</v>
      </c>
      <c r="B117" s="281"/>
      <c r="C117" s="281"/>
      <c r="D117" s="281"/>
      <c r="E117" s="282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5"/>
    </row>
    <row r="118" spans="1:17" ht="15.5" x14ac:dyDescent="0.35">
      <c r="A118" s="283" t="s">
        <v>96</v>
      </c>
      <c r="B118" s="285" t="s">
        <v>97</v>
      </c>
      <c r="C118" s="286"/>
      <c r="D118" s="287"/>
      <c r="E118" s="291" t="s">
        <v>117</v>
      </c>
      <c r="F118" s="292"/>
      <c r="G118" s="292"/>
      <c r="H118" s="293"/>
      <c r="I118" s="294" t="s">
        <v>99</v>
      </c>
      <c r="J118" s="295"/>
      <c r="K118" s="298" t="s">
        <v>100</v>
      </c>
      <c r="L118" s="300" t="s">
        <v>101</v>
      </c>
      <c r="M118" s="301"/>
      <c r="N118" s="302"/>
      <c r="O118" s="303" t="s">
        <v>102</v>
      </c>
      <c r="P118" s="303"/>
      <c r="Q118" s="304"/>
    </row>
    <row r="119" spans="1:17" ht="15.5" x14ac:dyDescent="0.35">
      <c r="A119" s="284"/>
      <c r="B119" s="288"/>
      <c r="C119" s="289"/>
      <c r="D119" s="290"/>
      <c r="E119" s="306" t="s">
        <v>118</v>
      </c>
      <c r="F119" s="307"/>
      <c r="G119" s="307"/>
      <c r="H119" s="308"/>
      <c r="I119" s="296"/>
      <c r="J119" s="297"/>
      <c r="K119" s="299"/>
      <c r="L119" s="6" t="s">
        <v>105</v>
      </c>
      <c r="M119" s="10" t="s">
        <v>106</v>
      </c>
      <c r="N119" s="7" t="s">
        <v>107</v>
      </c>
      <c r="O119" s="8" t="s">
        <v>108</v>
      </c>
      <c r="P119" s="8" t="s">
        <v>107</v>
      </c>
      <c r="Q119" s="305"/>
    </row>
    <row r="120" spans="1:17" ht="15.5" x14ac:dyDescent="0.35">
      <c r="A120" s="258"/>
      <c r="B120" s="260"/>
      <c r="C120" s="261"/>
      <c r="D120" s="262"/>
      <c r="E120" s="261"/>
      <c r="F120" s="261"/>
      <c r="G120" s="261"/>
      <c r="H120" s="261"/>
      <c r="I120" s="260"/>
      <c r="J120" s="262"/>
      <c r="K120" s="266"/>
      <c r="L120" s="266"/>
      <c r="M120" s="268"/>
      <c r="N120" s="270"/>
      <c r="O120" s="272" t="s">
        <v>119</v>
      </c>
      <c r="P120" s="273"/>
      <c r="Q120" s="15"/>
    </row>
    <row r="121" spans="1:17" ht="15.5" x14ac:dyDescent="0.35">
      <c r="A121" s="259"/>
      <c r="B121" s="263"/>
      <c r="C121" s="264"/>
      <c r="D121" s="265"/>
      <c r="E121" s="264"/>
      <c r="F121" s="264"/>
      <c r="G121" s="264"/>
      <c r="H121" s="264"/>
      <c r="I121" s="263"/>
      <c r="J121" s="265"/>
      <c r="K121" s="267"/>
      <c r="L121" s="267"/>
      <c r="M121" s="269"/>
      <c r="N121" s="271"/>
      <c r="O121" s="274"/>
      <c r="P121" s="275"/>
      <c r="Q121" s="90">
        <f>P103</f>
        <v>0</v>
      </c>
    </row>
    <row r="122" spans="1:17" x14ac:dyDescent="0.35">
      <c r="A122" s="255">
        <v>27</v>
      </c>
      <c r="B122" s="252"/>
      <c r="C122" s="252"/>
      <c r="D122" s="252"/>
      <c r="E122" s="252"/>
      <c r="F122" s="252"/>
      <c r="G122" s="252"/>
      <c r="H122" s="252"/>
      <c r="I122" s="251" t="s">
        <v>109</v>
      </c>
      <c r="J122" s="251"/>
      <c r="K122" s="234"/>
      <c r="L122" s="234"/>
      <c r="M122" s="235"/>
      <c r="N122" s="236"/>
      <c r="O122" s="235"/>
      <c r="P122" s="236"/>
      <c r="Q122" s="238"/>
    </row>
    <row r="123" spans="1:17" x14ac:dyDescent="0.35">
      <c r="A123" s="255"/>
      <c r="B123" s="252"/>
      <c r="C123" s="252"/>
      <c r="D123" s="252"/>
      <c r="E123" s="252"/>
      <c r="F123" s="252"/>
      <c r="G123" s="252"/>
      <c r="H123" s="252"/>
      <c r="I123" s="251"/>
      <c r="J123" s="251"/>
      <c r="K123" s="234"/>
      <c r="L123" s="234"/>
      <c r="M123" s="235"/>
      <c r="N123" s="236"/>
      <c r="O123" s="235"/>
      <c r="P123" s="236"/>
      <c r="Q123" s="238"/>
    </row>
    <row r="124" spans="1:17" x14ac:dyDescent="0.35">
      <c r="A124" s="255">
        <v>28</v>
      </c>
      <c r="B124" s="252"/>
      <c r="C124" s="252"/>
      <c r="D124" s="252"/>
      <c r="E124" s="252"/>
      <c r="F124" s="257"/>
      <c r="G124" s="257"/>
      <c r="H124" s="257"/>
      <c r="I124" s="251" t="s">
        <v>109</v>
      </c>
      <c r="J124" s="251"/>
      <c r="K124" s="234"/>
      <c r="L124" s="234"/>
      <c r="M124" s="235"/>
      <c r="N124" s="236"/>
      <c r="O124" s="235"/>
      <c r="P124" s="236"/>
      <c r="Q124" s="238"/>
    </row>
    <row r="125" spans="1:17" x14ac:dyDescent="0.35">
      <c r="A125" s="255"/>
      <c r="B125" s="252"/>
      <c r="C125" s="252"/>
      <c r="D125" s="252"/>
      <c r="E125" s="257"/>
      <c r="F125" s="257"/>
      <c r="G125" s="257"/>
      <c r="H125" s="257"/>
      <c r="I125" s="251"/>
      <c r="J125" s="251"/>
      <c r="K125" s="234"/>
      <c r="L125" s="234"/>
      <c r="M125" s="235"/>
      <c r="N125" s="236"/>
      <c r="O125" s="235"/>
      <c r="P125" s="236"/>
      <c r="Q125" s="238"/>
    </row>
    <row r="126" spans="1:17" ht="14.4" customHeight="1" x14ac:dyDescent="0.35">
      <c r="A126" s="255">
        <v>29</v>
      </c>
      <c r="B126" s="252"/>
      <c r="C126" s="252"/>
      <c r="D126" s="252"/>
      <c r="E126" s="252"/>
      <c r="F126" s="252"/>
      <c r="G126" s="252"/>
      <c r="H126" s="252"/>
      <c r="I126" s="251" t="s">
        <v>109</v>
      </c>
      <c r="J126" s="251"/>
      <c r="K126" s="234"/>
      <c r="L126" s="234"/>
      <c r="M126" s="235"/>
      <c r="N126" s="236"/>
      <c r="O126" s="235"/>
      <c r="P126" s="236"/>
      <c r="Q126" s="238"/>
    </row>
    <row r="127" spans="1:17" ht="14.4" customHeight="1" x14ac:dyDescent="0.35">
      <c r="A127" s="255"/>
      <c r="B127" s="252"/>
      <c r="C127" s="252"/>
      <c r="D127" s="252"/>
      <c r="E127" s="252"/>
      <c r="F127" s="252"/>
      <c r="G127" s="252"/>
      <c r="H127" s="252"/>
      <c r="I127" s="251"/>
      <c r="J127" s="251"/>
      <c r="K127" s="234"/>
      <c r="L127" s="234"/>
      <c r="M127" s="235"/>
      <c r="N127" s="236"/>
      <c r="O127" s="235"/>
      <c r="P127" s="236"/>
      <c r="Q127" s="238"/>
    </row>
    <row r="128" spans="1:17" ht="14.4" customHeight="1" x14ac:dyDescent="0.35">
      <c r="A128" s="255">
        <v>30</v>
      </c>
      <c r="B128" s="252"/>
      <c r="C128" s="252"/>
      <c r="D128" s="252"/>
      <c r="E128" s="252"/>
      <c r="F128" s="252"/>
      <c r="G128" s="252"/>
      <c r="H128" s="252"/>
      <c r="I128" s="251" t="s">
        <v>109</v>
      </c>
      <c r="J128" s="251"/>
      <c r="K128" s="234"/>
      <c r="L128" s="234"/>
      <c r="M128" s="235"/>
      <c r="N128" s="236"/>
      <c r="O128" s="235"/>
      <c r="P128" s="236"/>
      <c r="Q128" s="238"/>
    </row>
    <row r="129" spans="1:17" ht="14.4" customHeight="1" x14ac:dyDescent="0.35">
      <c r="A129" s="255"/>
      <c r="B129" s="252"/>
      <c r="C129" s="252"/>
      <c r="D129" s="252"/>
      <c r="E129" s="252"/>
      <c r="F129" s="252"/>
      <c r="G129" s="252"/>
      <c r="H129" s="252"/>
      <c r="I129" s="251"/>
      <c r="J129" s="251"/>
      <c r="K129" s="234"/>
      <c r="L129" s="234"/>
      <c r="M129" s="235"/>
      <c r="N129" s="236"/>
      <c r="O129" s="235"/>
      <c r="P129" s="236"/>
      <c r="Q129" s="238"/>
    </row>
    <row r="130" spans="1:17" ht="14.4" customHeight="1" x14ac:dyDescent="0.35">
      <c r="A130" s="255">
        <v>31</v>
      </c>
      <c r="B130" s="252"/>
      <c r="C130" s="252"/>
      <c r="D130" s="252"/>
      <c r="E130" s="252"/>
      <c r="F130" s="252"/>
      <c r="G130" s="252"/>
      <c r="H130" s="252"/>
      <c r="I130" s="251" t="s">
        <v>109</v>
      </c>
      <c r="J130" s="251"/>
      <c r="K130" s="234"/>
      <c r="L130" s="234"/>
      <c r="M130" s="235"/>
      <c r="N130" s="236"/>
      <c r="O130" s="235"/>
      <c r="P130" s="236"/>
      <c r="Q130" s="238"/>
    </row>
    <row r="131" spans="1:17" ht="14.4" customHeight="1" x14ac:dyDescent="0.35">
      <c r="A131" s="255"/>
      <c r="B131" s="252"/>
      <c r="C131" s="252"/>
      <c r="D131" s="252"/>
      <c r="E131" s="256"/>
      <c r="F131" s="256"/>
      <c r="G131" s="256"/>
      <c r="H131" s="256"/>
      <c r="I131" s="251"/>
      <c r="J131" s="251"/>
      <c r="K131" s="234"/>
      <c r="L131" s="234"/>
      <c r="M131" s="235"/>
      <c r="N131" s="236"/>
      <c r="O131" s="235"/>
      <c r="P131" s="236"/>
      <c r="Q131" s="238"/>
    </row>
    <row r="132" spans="1:17" ht="14.4" customHeight="1" x14ac:dyDescent="0.35">
      <c r="A132" s="253">
        <v>32</v>
      </c>
      <c r="B132" s="252"/>
      <c r="C132" s="252"/>
      <c r="D132" s="252"/>
      <c r="E132" s="252"/>
      <c r="F132" s="252"/>
      <c r="G132" s="252"/>
      <c r="H132" s="252"/>
      <c r="I132" s="251" t="s">
        <v>109</v>
      </c>
      <c r="J132" s="251"/>
      <c r="K132" s="234"/>
      <c r="L132" s="234"/>
      <c r="M132" s="235"/>
      <c r="N132" s="236"/>
      <c r="O132" s="235"/>
      <c r="P132" s="236"/>
      <c r="Q132" s="238"/>
    </row>
    <row r="133" spans="1:17" ht="14.4" customHeight="1" x14ac:dyDescent="0.35">
      <c r="A133" s="254"/>
      <c r="B133" s="252"/>
      <c r="C133" s="252"/>
      <c r="D133" s="252"/>
      <c r="E133" s="252"/>
      <c r="F133" s="252"/>
      <c r="G133" s="252"/>
      <c r="H133" s="252"/>
      <c r="I133" s="251"/>
      <c r="J133" s="251"/>
      <c r="K133" s="234"/>
      <c r="L133" s="234"/>
      <c r="M133" s="235"/>
      <c r="N133" s="236"/>
      <c r="O133" s="235"/>
      <c r="P133" s="236"/>
      <c r="Q133" s="238"/>
    </row>
    <row r="134" spans="1:17" ht="14.4" customHeight="1" x14ac:dyDescent="0.35">
      <c r="A134" s="253">
        <v>33</v>
      </c>
      <c r="B134" s="252"/>
      <c r="C134" s="252"/>
      <c r="D134" s="252"/>
      <c r="E134" s="252"/>
      <c r="F134" s="252"/>
      <c r="G134" s="252"/>
      <c r="H134" s="252"/>
      <c r="I134" s="251" t="s">
        <v>109</v>
      </c>
      <c r="J134" s="251"/>
      <c r="K134" s="234"/>
      <c r="L134" s="234"/>
      <c r="M134" s="235"/>
      <c r="N134" s="236"/>
      <c r="O134" s="235"/>
      <c r="P134" s="236"/>
      <c r="Q134" s="238"/>
    </row>
    <row r="135" spans="1:17" ht="14.4" customHeight="1" x14ac:dyDescent="0.35">
      <c r="A135" s="254"/>
      <c r="B135" s="252"/>
      <c r="C135" s="252"/>
      <c r="D135" s="252"/>
      <c r="E135" s="252"/>
      <c r="F135" s="252"/>
      <c r="G135" s="252"/>
      <c r="H135" s="252"/>
      <c r="I135" s="251"/>
      <c r="J135" s="251"/>
      <c r="K135" s="234"/>
      <c r="L135" s="234"/>
      <c r="M135" s="235"/>
      <c r="N135" s="236"/>
      <c r="O135" s="235"/>
      <c r="P135" s="236"/>
      <c r="Q135" s="238"/>
    </row>
    <row r="136" spans="1:17" ht="14.4" customHeight="1" x14ac:dyDescent="0.35">
      <c r="A136" s="253">
        <v>34</v>
      </c>
      <c r="B136" s="252"/>
      <c r="C136" s="252"/>
      <c r="D136" s="252"/>
      <c r="E136" s="252"/>
      <c r="F136" s="252"/>
      <c r="G136" s="252"/>
      <c r="H136" s="252"/>
      <c r="I136" s="251" t="s">
        <v>109</v>
      </c>
      <c r="J136" s="251"/>
      <c r="K136" s="234"/>
      <c r="L136" s="234"/>
      <c r="M136" s="235"/>
      <c r="N136" s="236"/>
      <c r="O136" s="235"/>
      <c r="P136" s="236"/>
      <c r="Q136" s="237"/>
    </row>
    <row r="137" spans="1:17" ht="14.4" customHeight="1" x14ac:dyDescent="0.35">
      <c r="A137" s="254"/>
      <c r="B137" s="252"/>
      <c r="C137" s="252"/>
      <c r="D137" s="252"/>
      <c r="E137" s="252"/>
      <c r="F137" s="252"/>
      <c r="G137" s="252"/>
      <c r="H137" s="252"/>
      <c r="I137" s="251"/>
      <c r="J137" s="251"/>
      <c r="K137" s="234"/>
      <c r="L137" s="234"/>
      <c r="M137" s="235"/>
      <c r="N137" s="236"/>
      <c r="O137" s="235"/>
      <c r="P137" s="236"/>
      <c r="Q137" s="237"/>
    </row>
    <row r="138" spans="1:17" ht="14.4" customHeight="1" x14ac:dyDescent="0.35">
      <c r="A138" s="253">
        <v>35</v>
      </c>
      <c r="B138" s="252"/>
      <c r="C138" s="252"/>
      <c r="D138" s="252"/>
      <c r="E138" s="252"/>
      <c r="F138" s="252"/>
      <c r="G138" s="252"/>
      <c r="H138" s="252"/>
      <c r="I138" s="251" t="s">
        <v>109</v>
      </c>
      <c r="J138" s="251"/>
      <c r="K138" s="234"/>
      <c r="L138" s="234"/>
      <c r="M138" s="235"/>
      <c r="N138" s="236"/>
      <c r="O138" s="235"/>
      <c r="P138" s="236"/>
      <c r="Q138" s="237"/>
    </row>
    <row r="139" spans="1:17" ht="14.4" customHeight="1" x14ac:dyDescent="0.35">
      <c r="A139" s="254"/>
      <c r="B139" s="252"/>
      <c r="C139" s="252"/>
      <c r="D139" s="252"/>
      <c r="E139" s="252"/>
      <c r="F139" s="252"/>
      <c r="G139" s="252"/>
      <c r="H139" s="252"/>
      <c r="I139" s="251"/>
      <c r="J139" s="251"/>
      <c r="K139" s="234"/>
      <c r="L139" s="234"/>
      <c r="M139" s="235"/>
      <c r="N139" s="236"/>
      <c r="O139" s="235"/>
      <c r="P139" s="236"/>
      <c r="Q139" s="237"/>
    </row>
    <row r="140" spans="1:17" ht="14.4" customHeight="1" x14ac:dyDescent="0.35">
      <c r="A140" s="248">
        <v>36</v>
      </c>
      <c r="B140" s="252"/>
      <c r="C140" s="252"/>
      <c r="D140" s="252"/>
      <c r="E140" s="252"/>
      <c r="F140" s="252"/>
      <c r="G140" s="252"/>
      <c r="H140" s="252"/>
      <c r="I140" s="251" t="s">
        <v>109</v>
      </c>
      <c r="J140" s="251"/>
      <c r="K140" s="234"/>
      <c r="L140" s="234"/>
      <c r="M140" s="235"/>
      <c r="N140" s="236"/>
      <c r="O140" s="235"/>
      <c r="P140" s="236"/>
      <c r="Q140" s="237"/>
    </row>
    <row r="141" spans="1:17" ht="14.4" customHeight="1" x14ac:dyDescent="0.35">
      <c r="A141" s="249"/>
      <c r="B141" s="252"/>
      <c r="C141" s="252"/>
      <c r="D141" s="252"/>
      <c r="E141" s="252"/>
      <c r="F141" s="252"/>
      <c r="G141" s="252"/>
      <c r="H141" s="252"/>
      <c r="I141" s="251"/>
      <c r="J141" s="251"/>
      <c r="K141" s="234"/>
      <c r="L141" s="234"/>
      <c r="M141" s="235"/>
      <c r="N141" s="236"/>
      <c r="O141" s="235"/>
      <c r="P141" s="236"/>
      <c r="Q141" s="237"/>
    </row>
    <row r="142" spans="1:17" ht="14.4" customHeight="1" x14ac:dyDescent="0.35">
      <c r="A142" s="248">
        <v>37</v>
      </c>
      <c r="B142" s="250"/>
      <c r="C142" s="250"/>
      <c r="D142" s="250"/>
      <c r="E142" s="250"/>
      <c r="F142" s="250"/>
      <c r="G142" s="250"/>
      <c r="H142" s="250"/>
      <c r="I142" s="251" t="s">
        <v>109</v>
      </c>
      <c r="J142" s="251"/>
      <c r="K142" s="234"/>
      <c r="L142" s="234"/>
      <c r="M142" s="235"/>
      <c r="N142" s="236"/>
      <c r="O142" s="235"/>
      <c r="P142" s="236"/>
      <c r="Q142" s="237"/>
    </row>
    <row r="143" spans="1:17" ht="14.4" customHeight="1" x14ac:dyDescent="0.35">
      <c r="A143" s="249"/>
      <c r="B143" s="250"/>
      <c r="C143" s="250"/>
      <c r="D143" s="250"/>
      <c r="E143" s="250"/>
      <c r="F143" s="250"/>
      <c r="G143" s="250"/>
      <c r="H143" s="250"/>
      <c r="I143" s="251"/>
      <c r="J143" s="251"/>
      <c r="K143" s="234"/>
      <c r="L143" s="234"/>
      <c r="M143" s="235"/>
      <c r="N143" s="236"/>
      <c r="O143" s="235"/>
      <c r="P143" s="236"/>
      <c r="Q143" s="237"/>
    </row>
    <row r="144" spans="1:17" ht="14.4" customHeight="1" x14ac:dyDescent="0.35">
      <c r="A144" s="248">
        <v>38</v>
      </c>
      <c r="B144" s="250"/>
      <c r="C144" s="250"/>
      <c r="D144" s="250"/>
      <c r="E144" s="250"/>
      <c r="F144" s="250"/>
      <c r="G144" s="250"/>
      <c r="H144" s="250"/>
      <c r="I144" s="251" t="s">
        <v>109</v>
      </c>
      <c r="J144" s="251"/>
      <c r="K144" s="234"/>
      <c r="L144" s="234"/>
      <c r="M144" s="235"/>
      <c r="N144" s="236"/>
      <c r="O144" s="235"/>
      <c r="P144" s="236"/>
      <c r="Q144" s="237"/>
    </row>
    <row r="145" spans="1:17" ht="14.4" customHeight="1" x14ac:dyDescent="0.35">
      <c r="A145" s="249"/>
      <c r="B145" s="250"/>
      <c r="C145" s="250"/>
      <c r="D145" s="250"/>
      <c r="E145" s="250"/>
      <c r="F145" s="250"/>
      <c r="G145" s="250"/>
      <c r="H145" s="250"/>
      <c r="I145" s="251"/>
      <c r="J145" s="251"/>
      <c r="K145" s="234"/>
      <c r="L145" s="234"/>
      <c r="M145" s="235"/>
      <c r="N145" s="236"/>
      <c r="O145" s="235"/>
      <c r="P145" s="236"/>
      <c r="Q145" s="237"/>
    </row>
    <row r="146" spans="1:17" x14ac:dyDescent="0.35">
      <c r="A146" s="248">
        <v>39</v>
      </c>
      <c r="B146" s="250"/>
      <c r="C146" s="250"/>
      <c r="D146" s="250"/>
      <c r="E146" s="250"/>
      <c r="F146" s="250"/>
      <c r="G146" s="250"/>
      <c r="H146" s="250"/>
      <c r="I146" s="251" t="s">
        <v>109</v>
      </c>
      <c r="J146" s="251"/>
      <c r="K146" s="234"/>
      <c r="L146" s="234"/>
      <c r="M146" s="235"/>
      <c r="N146" s="236"/>
      <c r="O146" s="235"/>
      <c r="P146" s="236"/>
      <c r="Q146" s="237"/>
    </row>
    <row r="147" spans="1:17" x14ac:dyDescent="0.35">
      <c r="A147" s="249"/>
      <c r="B147" s="250"/>
      <c r="C147" s="250"/>
      <c r="D147" s="250"/>
      <c r="E147" s="250"/>
      <c r="F147" s="250"/>
      <c r="G147" s="250"/>
      <c r="H147" s="250"/>
      <c r="I147" s="251"/>
      <c r="J147" s="251"/>
      <c r="K147" s="234"/>
      <c r="L147" s="234"/>
      <c r="M147" s="235"/>
      <c r="N147" s="236"/>
      <c r="O147" s="235"/>
      <c r="P147" s="236"/>
      <c r="Q147" s="237"/>
    </row>
    <row r="148" spans="1:17" x14ac:dyDescent="0.35">
      <c r="A148" s="248">
        <v>40</v>
      </c>
      <c r="B148" s="250"/>
      <c r="C148" s="250"/>
      <c r="D148" s="250"/>
      <c r="E148" s="250"/>
      <c r="F148" s="250"/>
      <c r="G148" s="250"/>
      <c r="H148" s="250"/>
      <c r="I148" s="251" t="s">
        <v>109</v>
      </c>
      <c r="J148" s="251"/>
      <c r="K148" s="234"/>
      <c r="L148" s="234"/>
      <c r="M148" s="235"/>
      <c r="N148" s="236"/>
      <c r="O148" s="235"/>
      <c r="P148" s="236"/>
      <c r="Q148" s="237"/>
    </row>
    <row r="149" spans="1:17" x14ac:dyDescent="0.35">
      <c r="A149" s="249"/>
      <c r="B149" s="250"/>
      <c r="C149" s="250"/>
      <c r="D149" s="250"/>
      <c r="E149" s="250"/>
      <c r="F149" s="250"/>
      <c r="G149" s="250"/>
      <c r="H149" s="250"/>
      <c r="I149" s="251"/>
      <c r="J149" s="251"/>
      <c r="K149" s="234"/>
      <c r="L149" s="234"/>
      <c r="M149" s="235"/>
      <c r="N149" s="236"/>
      <c r="O149" s="235"/>
      <c r="P149" s="236"/>
      <c r="Q149" s="237"/>
    </row>
    <row r="150" spans="1:17" x14ac:dyDescent="0.35">
      <c r="A150" s="248">
        <v>41</v>
      </c>
      <c r="B150" s="250"/>
      <c r="C150" s="250"/>
      <c r="D150" s="250"/>
      <c r="E150" s="250"/>
      <c r="F150" s="250"/>
      <c r="G150" s="250"/>
      <c r="H150" s="250"/>
      <c r="I150" s="251" t="s">
        <v>109</v>
      </c>
      <c r="J150" s="251"/>
      <c r="K150" s="234"/>
      <c r="L150" s="234"/>
      <c r="M150" s="235"/>
      <c r="N150" s="236"/>
      <c r="O150" s="235"/>
      <c r="P150" s="236"/>
      <c r="Q150" s="237"/>
    </row>
    <row r="151" spans="1:17" x14ac:dyDescent="0.35">
      <c r="A151" s="249"/>
      <c r="B151" s="250"/>
      <c r="C151" s="250"/>
      <c r="D151" s="250"/>
      <c r="E151" s="250"/>
      <c r="F151" s="250"/>
      <c r="G151" s="250"/>
      <c r="H151" s="250"/>
      <c r="I151" s="251"/>
      <c r="J151" s="251"/>
      <c r="K151" s="234"/>
      <c r="L151" s="234"/>
      <c r="M151" s="235"/>
      <c r="N151" s="236"/>
      <c r="O151" s="235"/>
      <c r="P151" s="236"/>
      <c r="Q151" s="237"/>
    </row>
    <row r="152" spans="1:17" ht="15.5" x14ac:dyDescent="0.35">
      <c r="A152" s="18" t="s">
        <v>110</v>
      </c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20"/>
      <c r="N152" s="19"/>
      <c r="O152" s="239" t="s">
        <v>120</v>
      </c>
      <c r="P152" s="240"/>
      <c r="Q152" s="91">
        <f>SUM(Q121:Q151)</f>
        <v>0</v>
      </c>
    </row>
    <row r="153" spans="1:17" ht="15" thickBot="1" x14ac:dyDescent="0.4">
      <c r="A153" s="12"/>
      <c r="B153" s="2"/>
      <c r="G153" s="2"/>
      <c r="L153" s="2"/>
      <c r="M153" s="2"/>
      <c r="N153" s="2"/>
      <c r="O153" s="2"/>
      <c r="P153" s="2"/>
      <c r="Q153" s="21"/>
    </row>
    <row r="154" spans="1:17" ht="16" thickTop="1" x14ac:dyDescent="0.35">
      <c r="A154" s="3" t="s">
        <v>111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5"/>
    </row>
    <row r="155" spans="1:17" ht="15.5" x14ac:dyDescent="0.35">
      <c r="A155" s="22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5"/>
    </row>
    <row r="156" spans="1:17" ht="15.5" x14ac:dyDescent="0.35">
      <c r="A156" s="23"/>
      <c r="B156" s="92" t="str">
        <f>B107</f>
        <v>Rio de Janeiro, 31 de dezembro  de 2026.</v>
      </c>
      <c r="C156" s="92"/>
      <c r="D156" s="92"/>
      <c r="E156" s="92"/>
      <c r="F156" s="92"/>
      <c r="G156" s="89"/>
      <c r="H156" s="241" t="str">
        <f>H107</f>
        <v>ODETTE DOS SANTOS SACRAMENTO TERREZO FARDILHA</v>
      </c>
      <c r="I156" s="241"/>
      <c r="J156" s="241"/>
      <c r="K156" s="241"/>
      <c r="L156" s="241"/>
      <c r="M156" s="241"/>
      <c r="N156" s="17"/>
      <c r="O156" s="242"/>
      <c r="P156" s="242"/>
      <c r="Q156" s="243"/>
    </row>
    <row r="157" spans="1:17" ht="16" thickBot="1" x14ac:dyDescent="0.4">
      <c r="A157" s="13"/>
      <c r="B157" s="244" t="s">
        <v>113</v>
      </c>
      <c r="C157" s="244"/>
      <c r="D157" s="244"/>
      <c r="E157" s="244"/>
      <c r="F157" s="244"/>
      <c r="G157" s="14"/>
      <c r="H157" s="245" t="s">
        <v>114</v>
      </c>
      <c r="I157" s="245"/>
      <c r="J157" s="245"/>
      <c r="K157" s="245"/>
      <c r="L157" s="245"/>
      <c r="M157" s="245"/>
      <c r="N157" s="14"/>
      <c r="O157" s="246" t="s">
        <v>115</v>
      </c>
      <c r="P157" s="246"/>
      <c r="Q157" s="247"/>
    </row>
    <row r="158" spans="1:17" ht="15" thickTop="1" x14ac:dyDescent="0.35"/>
  </sheetData>
  <mergeCells count="570">
    <mergeCell ref="O103:P103"/>
    <mergeCell ref="H107:M107"/>
    <mergeCell ref="O107:Q107"/>
    <mergeCell ref="B108:F108"/>
    <mergeCell ref="H108:M108"/>
    <mergeCell ref="O108:Q108"/>
    <mergeCell ref="C14:N14"/>
    <mergeCell ref="A14:B14"/>
    <mergeCell ref="O101:O102"/>
    <mergeCell ref="P101:P102"/>
    <mergeCell ref="Q101:Q102"/>
    <mergeCell ref="A99:A100"/>
    <mergeCell ref="B99:D100"/>
    <mergeCell ref="E99:H100"/>
    <mergeCell ref="I99:J100"/>
    <mergeCell ref="K99:K100"/>
    <mergeCell ref="L99:L100"/>
    <mergeCell ref="M99:M100"/>
    <mergeCell ref="P99:P100"/>
    <mergeCell ref="Q99:Q100"/>
    <mergeCell ref="A101:A102"/>
    <mergeCell ref="B101:D102"/>
    <mergeCell ref="E101:H102"/>
    <mergeCell ref="I101:J102"/>
    <mergeCell ref="K101:K102"/>
    <mergeCell ref="L101:L102"/>
    <mergeCell ref="M101:M102"/>
    <mergeCell ref="N101:N102"/>
    <mergeCell ref="N99:N100"/>
    <mergeCell ref="O99:O100"/>
    <mergeCell ref="P83:P84"/>
    <mergeCell ref="Q83:Q84"/>
    <mergeCell ref="A85:A86"/>
    <mergeCell ref="B85:D86"/>
    <mergeCell ref="E85:H86"/>
    <mergeCell ref="I85:J86"/>
    <mergeCell ref="K85:K86"/>
    <mergeCell ref="L85:L86"/>
    <mergeCell ref="M85:M86"/>
    <mergeCell ref="N85:N86"/>
    <mergeCell ref="O85:O86"/>
    <mergeCell ref="P85:P86"/>
    <mergeCell ref="Q85:Q86"/>
    <mergeCell ref="A83:A84"/>
    <mergeCell ref="B83:D84"/>
    <mergeCell ref="E83:H84"/>
    <mergeCell ref="I83:J84"/>
    <mergeCell ref="K83:K84"/>
    <mergeCell ref="N79:N80"/>
    <mergeCell ref="O79:O80"/>
    <mergeCell ref="L83:L84"/>
    <mergeCell ref="M83:M84"/>
    <mergeCell ref="N83:N84"/>
    <mergeCell ref="O83:O84"/>
    <mergeCell ref="P79:P80"/>
    <mergeCell ref="Q79:Q80"/>
    <mergeCell ref="M81:M82"/>
    <mergeCell ref="N81:N82"/>
    <mergeCell ref="O81:O82"/>
    <mergeCell ref="P81:P82"/>
    <mergeCell ref="Q81:Q82"/>
    <mergeCell ref="A81:A82"/>
    <mergeCell ref="B81:D82"/>
    <mergeCell ref="E81:H82"/>
    <mergeCell ref="I81:J82"/>
    <mergeCell ref="K81:K82"/>
    <mergeCell ref="L81:L82"/>
    <mergeCell ref="O77:O78"/>
    <mergeCell ref="P77:P78"/>
    <mergeCell ref="Q77:Q78"/>
    <mergeCell ref="A77:A78"/>
    <mergeCell ref="B77:D78"/>
    <mergeCell ref="E77:H78"/>
    <mergeCell ref="I77:J78"/>
    <mergeCell ref="K77:K78"/>
    <mergeCell ref="L77:L78"/>
    <mergeCell ref="M77:M78"/>
    <mergeCell ref="N77:N78"/>
    <mergeCell ref="A79:A80"/>
    <mergeCell ref="B79:D80"/>
    <mergeCell ref="E79:H80"/>
    <mergeCell ref="I79:J80"/>
    <mergeCell ref="K79:K80"/>
    <mergeCell ref="L79:L80"/>
    <mergeCell ref="M79:M80"/>
    <mergeCell ref="A75:A76"/>
    <mergeCell ref="B75:D76"/>
    <mergeCell ref="E75:H76"/>
    <mergeCell ref="I75:J76"/>
    <mergeCell ref="K75:K76"/>
    <mergeCell ref="L75:L76"/>
    <mergeCell ref="M75:M76"/>
    <mergeCell ref="P75:P76"/>
    <mergeCell ref="Q75:Q76"/>
    <mergeCell ref="N75:N76"/>
    <mergeCell ref="O75:O76"/>
    <mergeCell ref="P71:P72"/>
    <mergeCell ref="Q71:Q72"/>
    <mergeCell ref="A73:A74"/>
    <mergeCell ref="B73:D74"/>
    <mergeCell ref="E73:H74"/>
    <mergeCell ref="I73:J74"/>
    <mergeCell ref="K73:K74"/>
    <mergeCell ref="L73:L74"/>
    <mergeCell ref="M73:M74"/>
    <mergeCell ref="N73:N74"/>
    <mergeCell ref="O73:O74"/>
    <mergeCell ref="P73:P74"/>
    <mergeCell ref="Q73:Q74"/>
    <mergeCell ref="A71:A72"/>
    <mergeCell ref="B71:D72"/>
    <mergeCell ref="E71:H72"/>
    <mergeCell ref="I71:J72"/>
    <mergeCell ref="K71:K72"/>
    <mergeCell ref="L71:L72"/>
    <mergeCell ref="M71:M72"/>
    <mergeCell ref="N71:N72"/>
    <mergeCell ref="O71:O72"/>
    <mergeCell ref="M69:M70"/>
    <mergeCell ref="N69:N70"/>
    <mergeCell ref="O69:O70"/>
    <mergeCell ref="P69:P70"/>
    <mergeCell ref="Q69:Q70"/>
    <mergeCell ref="A67:A68"/>
    <mergeCell ref="B67:D68"/>
    <mergeCell ref="E67:H68"/>
    <mergeCell ref="I67:J68"/>
    <mergeCell ref="K67:K68"/>
    <mergeCell ref="L67:L68"/>
    <mergeCell ref="M67:M68"/>
    <mergeCell ref="N67:N68"/>
    <mergeCell ref="O67:O68"/>
    <mergeCell ref="A69:A70"/>
    <mergeCell ref="B69:D70"/>
    <mergeCell ref="E69:H70"/>
    <mergeCell ref="I69:J70"/>
    <mergeCell ref="K69:K70"/>
    <mergeCell ref="L69:L70"/>
    <mergeCell ref="B65:D66"/>
    <mergeCell ref="E65:H66"/>
    <mergeCell ref="I65:J66"/>
    <mergeCell ref="K65:K66"/>
    <mergeCell ref="L65:L66"/>
    <mergeCell ref="M65:M66"/>
    <mergeCell ref="N65:N66"/>
    <mergeCell ref="P67:P68"/>
    <mergeCell ref="Q67:Q68"/>
    <mergeCell ref="Q40:Q41"/>
    <mergeCell ref="M44:M45"/>
    <mergeCell ref="L44:L45"/>
    <mergeCell ref="O65:P66"/>
    <mergeCell ref="A57:H59"/>
    <mergeCell ref="A62:E62"/>
    <mergeCell ref="A63:A64"/>
    <mergeCell ref="B63:D64"/>
    <mergeCell ref="E63:H63"/>
    <mergeCell ref="I63:J64"/>
    <mergeCell ref="K63:K64"/>
    <mergeCell ref="L63:N63"/>
    <mergeCell ref="O63:P63"/>
    <mergeCell ref="N44:N45"/>
    <mergeCell ref="O44:O45"/>
    <mergeCell ref="B52:F52"/>
    <mergeCell ref="H52:N52"/>
    <mergeCell ref="O52:Q52"/>
    <mergeCell ref="A51:F51"/>
    <mergeCell ref="H51:N51"/>
    <mergeCell ref="O51:Q51"/>
    <mergeCell ref="Q63:Q64"/>
    <mergeCell ref="E64:H64"/>
    <mergeCell ref="A65:A66"/>
    <mergeCell ref="A50:Q50"/>
    <mergeCell ref="D48:Q48"/>
    <mergeCell ref="A46:D47"/>
    <mergeCell ref="E46:O47"/>
    <mergeCell ref="A40:A41"/>
    <mergeCell ref="B40:D41"/>
    <mergeCell ref="E40:H41"/>
    <mergeCell ref="I40:J41"/>
    <mergeCell ref="K40:K41"/>
    <mergeCell ref="A44:A45"/>
    <mergeCell ref="B44:D45"/>
    <mergeCell ref="E44:H45"/>
    <mergeCell ref="I44:J45"/>
    <mergeCell ref="K44:K45"/>
    <mergeCell ref="A42:A43"/>
    <mergeCell ref="Q44:Q45"/>
    <mergeCell ref="N42:N43"/>
    <mergeCell ref="O42:O43"/>
    <mergeCell ref="Q42:Q43"/>
    <mergeCell ref="P42:P43"/>
    <mergeCell ref="P44:P45"/>
    <mergeCell ref="P46:Q47"/>
    <mergeCell ref="L42:L43"/>
    <mergeCell ref="O40:O41"/>
    <mergeCell ref="Q34:Q35"/>
    <mergeCell ref="L34:L35"/>
    <mergeCell ref="P36:P37"/>
    <mergeCell ref="P38:P39"/>
    <mergeCell ref="M38:M39"/>
    <mergeCell ref="K21:M21"/>
    <mergeCell ref="O23:P23"/>
    <mergeCell ref="Q24:Q25"/>
    <mergeCell ref="O24:P25"/>
    <mergeCell ref="Q38:Q39"/>
    <mergeCell ref="L38:L39"/>
    <mergeCell ref="L36:L37"/>
    <mergeCell ref="N36:N37"/>
    <mergeCell ref="O36:O37"/>
    <mergeCell ref="Q36:Q37"/>
    <mergeCell ref="I28:J29"/>
    <mergeCell ref="K28:K29"/>
    <mergeCell ref="O32:O33"/>
    <mergeCell ref="O28:P28"/>
    <mergeCell ref="H20:M20"/>
    <mergeCell ref="M30:M31"/>
    <mergeCell ref="M32:M33"/>
    <mergeCell ref="M34:M35"/>
    <mergeCell ref="M36:M37"/>
    <mergeCell ref="M23:N23"/>
    <mergeCell ref="N20:O20"/>
    <mergeCell ref="N34:N35"/>
    <mergeCell ref="O34:O35"/>
    <mergeCell ref="P34:P35"/>
    <mergeCell ref="N32:N33"/>
    <mergeCell ref="P30:P31"/>
    <mergeCell ref="P32:P33"/>
    <mergeCell ref="L40:L41"/>
    <mergeCell ref="N40:N41"/>
    <mergeCell ref="P40:P41"/>
    <mergeCell ref="E38:H39"/>
    <mergeCell ref="I38:J39"/>
    <mergeCell ref="K38:K39"/>
    <mergeCell ref="N38:N39"/>
    <mergeCell ref="O38:O39"/>
    <mergeCell ref="B42:D43"/>
    <mergeCell ref="E42:H43"/>
    <mergeCell ref="I42:J43"/>
    <mergeCell ref="K42:K43"/>
    <mergeCell ref="M40:M41"/>
    <mergeCell ref="M42:M43"/>
    <mergeCell ref="A36:A37"/>
    <mergeCell ref="B36:D37"/>
    <mergeCell ref="E36:H37"/>
    <mergeCell ref="I36:J37"/>
    <mergeCell ref="K36:K37"/>
    <mergeCell ref="A34:A35"/>
    <mergeCell ref="B34:D35"/>
    <mergeCell ref="E34:H35"/>
    <mergeCell ref="I34:J35"/>
    <mergeCell ref="K34:K35"/>
    <mergeCell ref="A38:A39"/>
    <mergeCell ref="B38:D39"/>
    <mergeCell ref="Q32:Q33"/>
    <mergeCell ref="N30:N31"/>
    <mergeCell ref="O30:O31"/>
    <mergeCell ref="Q30:Q31"/>
    <mergeCell ref="A28:A29"/>
    <mergeCell ref="B28:D29"/>
    <mergeCell ref="E28:H28"/>
    <mergeCell ref="Q28:Q29"/>
    <mergeCell ref="E29:H29"/>
    <mergeCell ref="A30:A31"/>
    <mergeCell ref="B30:D31"/>
    <mergeCell ref="E30:H31"/>
    <mergeCell ref="I30:J31"/>
    <mergeCell ref="K30:K31"/>
    <mergeCell ref="L30:L31"/>
    <mergeCell ref="A32:A33"/>
    <mergeCell ref="B32:D33"/>
    <mergeCell ref="E32:H33"/>
    <mergeCell ref="I32:J33"/>
    <mergeCell ref="K32:K33"/>
    <mergeCell ref="L28:N28"/>
    <mergeCell ref="L32:L33"/>
    <mergeCell ref="A5:H7"/>
    <mergeCell ref="A9:Q9"/>
    <mergeCell ref="Q11:Q12"/>
    <mergeCell ref="A16:N17"/>
    <mergeCell ref="Q16:Q17"/>
    <mergeCell ref="D20:G20"/>
    <mergeCell ref="F24:G24"/>
    <mergeCell ref="H24:J24"/>
    <mergeCell ref="A21:B21"/>
    <mergeCell ref="D21:E21"/>
    <mergeCell ref="F21:G21"/>
    <mergeCell ref="H21:J21"/>
    <mergeCell ref="A22:B22"/>
    <mergeCell ref="D22:E22"/>
    <mergeCell ref="A23:C23"/>
    <mergeCell ref="D23:G23"/>
    <mergeCell ref="A24:B24"/>
    <mergeCell ref="D24:E24"/>
    <mergeCell ref="F22:G22"/>
    <mergeCell ref="H22:J22"/>
    <mergeCell ref="P20:Q20"/>
    <mergeCell ref="O16:P17"/>
    <mergeCell ref="A10:P10"/>
    <mergeCell ref="A11:P12"/>
    <mergeCell ref="A13:N13"/>
    <mergeCell ref="O13:Q13"/>
    <mergeCell ref="O14:Q14"/>
    <mergeCell ref="A15:N15"/>
    <mergeCell ref="O15:P15"/>
    <mergeCell ref="A27:D27"/>
    <mergeCell ref="K25:L25"/>
    <mergeCell ref="H23:L23"/>
    <mergeCell ref="K24:L24"/>
    <mergeCell ref="A25:B25"/>
    <mergeCell ref="D25:E25"/>
    <mergeCell ref="F25:G25"/>
    <mergeCell ref="H25:J25"/>
    <mergeCell ref="P87:P88"/>
    <mergeCell ref="Q87:Q88"/>
    <mergeCell ref="A89:A90"/>
    <mergeCell ref="B89:D90"/>
    <mergeCell ref="E89:H90"/>
    <mergeCell ref="I89:J90"/>
    <mergeCell ref="K89:K90"/>
    <mergeCell ref="L89:L90"/>
    <mergeCell ref="M89:M90"/>
    <mergeCell ref="N89:N90"/>
    <mergeCell ref="O89:O90"/>
    <mergeCell ref="P89:P90"/>
    <mergeCell ref="Q89:Q90"/>
    <mergeCell ref="A87:A88"/>
    <mergeCell ref="B87:D88"/>
    <mergeCell ref="E87:H88"/>
    <mergeCell ref="I87:J88"/>
    <mergeCell ref="K87:K88"/>
    <mergeCell ref="L87:L88"/>
    <mergeCell ref="M87:M88"/>
    <mergeCell ref="N87:N88"/>
    <mergeCell ref="O87:O88"/>
    <mergeCell ref="A91:A92"/>
    <mergeCell ref="B91:D92"/>
    <mergeCell ref="E91:H92"/>
    <mergeCell ref="I91:J92"/>
    <mergeCell ref="K91:K92"/>
    <mergeCell ref="L91:L92"/>
    <mergeCell ref="M91:M92"/>
    <mergeCell ref="N91:N92"/>
    <mergeCell ref="O91:O92"/>
    <mergeCell ref="P91:P92"/>
    <mergeCell ref="Q91:Q92"/>
    <mergeCell ref="K22:M22"/>
    <mergeCell ref="A112:H114"/>
    <mergeCell ref="A117:E117"/>
    <mergeCell ref="A118:A119"/>
    <mergeCell ref="B118:D119"/>
    <mergeCell ref="E118:H118"/>
    <mergeCell ref="I118:J119"/>
    <mergeCell ref="K118:K119"/>
    <mergeCell ref="L118:N118"/>
    <mergeCell ref="O118:P118"/>
    <mergeCell ref="Q118:Q119"/>
    <mergeCell ref="E119:H119"/>
    <mergeCell ref="L95:L96"/>
    <mergeCell ref="M95:M96"/>
    <mergeCell ref="N95:N96"/>
    <mergeCell ref="O95:O96"/>
    <mergeCell ref="P95:P96"/>
    <mergeCell ref="Q95:Q96"/>
    <mergeCell ref="A97:A98"/>
    <mergeCell ref="B97:D98"/>
    <mergeCell ref="E97:H98"/>
    <mergeCell ref="I97:J98"/>
    <mergeCell ref="A120:A121"/>
    <mergeCell ref="B120:D121"/>
    <mergeCell ref="E120:H121"/>
    <mergeCell ref="I120:J121"/>
    <mergeCell ref="K120:K121"/>
    <mergeCell ref="L120:L121"/>
    <mergeCell ref="M120:M121"/>
    <mergeCell ref="N120:N121"/>
    <mergeCell ref="O120:P121"/>
    <mergeCell ref="P122:P123"/>
    <mergeCell ref="Q122:Q123"/>
    <mergeCell ref="A124:A125"/>
    <mergeCell ref="B124:D125"/>
    <mergeCell ref="E124:H125"/>
    <mergeCell ref="I124:J125"/>
    <mergeCell ref="K124:K125"/>
    <mergeCell ref="L124:L125"/>
    <mergeCell ref="M124:M125"/>
    <mergeCell ref="N124:N125"/>
    <mergeCell ref="O124:O125"/>
    <mergeCell ref="P124:P125"/>
    <mergeCell ref="Q124:Q125"/>
    <mergeCell ref="A122:A123"/>
    <mergeCell ref="B122:D123"/>
    <mergeCell ref="E122:H123"/>
    <mergeCell ref="I122:J123"/>
    <mergeCell ref="K122:K123"/>
    <mergeCell ref="L122:L123"/>
    <mergeCell ref="M122:M123"/>
    <mergeCell ref="N122:N123"/>
    <mergeCell ref="O122:O123"/>
    <mergeCell ref="P126:P127"/>
    <mergeCell ref="Q126:Q127"/>
    <mergeCell ref="A128:A129"/>
    <mergeCell ref="B128:D129"/>
    <mergeCell ref="E128:H129"/>
    <mergeCell ref="I128:J129"/>
    <mergeCell ref="K128:K129"/>
    <mergeCell ref="L128:L129"/>
    <mergeCell ref="M128:M129"/>
    <mergeCell ref="N128:N129"/>
    <mergeCell ref="O128:O129"/>
    <mergeCell ref="P128:P129"/>
    <mergeCell ref="Q128:Q129"/>
    <mergeCell ref="A126:A127"/>
    <mergeCell ref="B126:D127"/>
    <mergeCell ref="E126:H127"/>
    <mergeCell ref="I126:J127"/>
    <mergeCell ref="K126:K127"/>
    <mergeCell ref="L126:L127"/>
    <mergeCell ref="M126:M127"/>
    <mergeCell ref="N126:N127"/>
    <mergeCell ref="O126:O127"/>
    <mergeCell ref="Q132:Q133"/>
    <mergeCell ref="A130:A131"/>
    <mergeCell ref="B130:D131"/>
    <mergeCell ref="E130:H131"/>
    <mergeCell ref="I130:J131"/>
    <mergeCell ref="K130:K131"/>
    <mergeCell ref="L130:L131"/>
    <mergeCell ref="M130:M131"/>
    <mergeCell ref="N130:N131"/>
    <mergeCell ref="O130:O131"/>
    <mergeCell ref="A132:A133"/>
    <mergeCell ref="B132:D133"/>
    <mergeCell ref="E132:H133"/>
    <mergeCell ref="I132:J133"/>
    <mergeCell ref="K132:K133"/>
    <mergeCell ref="L132:L133"/>
    <mergeCell ref="M132:M133"/>
    <mergeCell ref="N132:N133"/>
    <mergeCell ref="O132:O133"/>
    <mergeCell ref="A134:A135"/>
    <mergeCell ref="B134:D135"/>
    <mergeCell ref="E134:H135"/>
    <mergeCell ref="I134:J135"/>
    <mergeCell ref="K134:K135"/>
    <mergeCell ref="L134:L135"/>
    <mergeCell ref="M134:M135"/>
    <mergeCell ref="N134:N135"/>
    <mergeCell ref="O134:O135"/>
    <mergeCell ref="A136:A137"/>
    <mergeCell ref="B136:D137"/>
    <mergeCell ref="E136:H137"/>
    <mergeCell ref="I136:J137"/>
    <mergeCell ref="K136:K137"/>
    <mergeCell ref="L136:L137"/>
    <mergeCell ref="M136:M137"/>
    <mergeCell ref="N136:N137"/>
    <mergeCell ref="O136:O137"/>
    <mergeCell ref="A138:A139"/>
    <mergeCell ref="B138:D139"/>
    <mergeCell ref="E138:H139"/>
    <mergeCell ref="I138:J139"/>
    <mergeCell ref="K138:K139"/>
    <mergeCell ref="L138:L139"/>
    <mergeCell ref="M138:M139"/>
    <mergeCell ref="N138:N139"/>
    <mergeCell ref="O138:O139"/>
    <mergeCell ref="A140:A141"/>
    <mergeCell ref="B140:D141"/>
    <mergeCell ref="E140:H141"/>
    <mergeCell ref="I140:J141"/>
    <mergeCell ref="K140:K141"/>
    <mergeCell ref="L140:L141"/>
    <mergeCell ref="M140:M141"/>
    <mergeCell ref="N140:N141"/>
    <mergeCell ref="O140:O141"/>
    <mergeCell ref="A142:A143"/>
    <mergeCell ref="B142:D143"/>
    <mergeCell ref="E142:H143"/>
    <mergeCell ref="I142:J143"/>
    <mergeCell ref="K142:K143"/>
    <mergeCell ref="L142:L143"/>
    <mergeCell ref="M142:M143"/>
    <mergeCell ref="N142:N143"/>
    <mergeCell ref="O142:O143"/>
    <mergeCell ref="A144:A145"/>
    <mergeCell ref="B144:D145"/>
    <mergeCell ref="E144:H145"/>
    <mergeCell ref="I144:J145"/>
    <mergeCell ref="K144:K145"/>
    <mergeCell ref="L144:L145"/>
    <mergeCell ref="M144:M145"/>
    <mergeCell ref="N144:N145"/>
    <mergeCell ref="O144:O145"/>
    <mergeCell ref="A146:A147"/>
    <mergeCell ref="B146:D147"/>
    <mergeCell ref="E146:H147"/>
    <mergeCell ref="I146:J147"/>
    <mergeCell ref="K146:K147"/>
    <mergeCell ref="L146:L147"/>
    <mergeCell ref="M146:M147"/>
    <mergeCell ref="N146:N147"/>
    <mergeCell ref="O146:O147"/>
    <mergeCell ref="A148:A149"/>
    <mergeCell ref="B148:D149"/>
    <mergeCell ref="E148:H149"/>
    <mergeCell ref="I148:J149"/>
    <mergeCell ref="K148:K149"/>
    <mergeCell ref="L148:L149"/>
    <mergeCell ref="M148:M149"/>
    <mergeCell ref="N148:N149"/>
    <mergeCell ref="O148:O149"/>
    <mergeCell ref="E150:H151"/>
    <mergeCell ref="I150:J151"/>
    <mergeCell ref="K150:K151"/>
    <mergeCell ref="L150:L151"/>
    <mergeCell ref="M150:M151"/>
    <mergeCell ref="N150:N151"/>
    <mergeCell ref="O150:O151"/>
    <mergeCell ref="P146:P147"/>
    <mergeCell ref="Q146:Q147"/>
    <mergeCell ref="P148:P149"/>
    <mergeCell ref="Q148:Q149"/>
    <mergeCell ref="O152:P152"/>
    <mergeCell ref="H156:M156"/>
    <mergeCell ref="O156:Q156"/>
    <mergeCell ref="B157:F157"/>
    <mergeCell ref="H157:M157"/>
    <mergeCell ref="O157:Q157"/>
    <mergeCell ref="A93:A94"/>
    <mergeCell ref="B93:D94"/>
    <mergeCell ref="E93:H94"/>
    <mergeCell ref="I93:J94"/>
    <mergeCell ref="K93:K94"/>
    <mergeCell ref="L93:L94"/>
    <mergeCell ref="M93:M94"/>
    <mergeCell ref="N93:N94"/>
    <mergeCell ref="O93:O94"/>
    <mergeCell ref="P93:P94"/>
    <mergeCell ref="Q93:Q94"/>
    <mergeCell ref="A95:A96"/>
    <mergeCell ref="B95:D96"/>
    <mergeCell ref="E95:H96"/>
    <mergeCell ref="I95:J96"/>
    <mergeCell ref="K95:K96"/>
    <mergeCell ref="A150:A151"/>
    <mergeCell ref="B150:D151"/>
    <mergeCell ref="K97:K98"/>
    <mergeCell ref="L97:L98"/>
    <mergeCell ref="M97:M98"/>
    <mergeCell ref="N97:N98"/>
    <mergeCell ref="O97:O98"/>
    <mergeCell ref="P97:P98"/>
    <mergeCell ref="Q97:Q98"/>
    <mergeCell ref="P150:P151"/>
    <mergeCell ref="Q150:Q151"/>
    <mergeCell ref="P142:P143"/>
    <mergeCell ref="Q142:Q143"/>
    <mergeCell ref="P144:P145"/>
    <mergeCell ref="Q144:Q145"/>
    <mergeCell ref="P138:P139"/>
    <mergeCell ref="Q138:Q139"/>
    <mergeCell ref="P140:P141"/>
    <mergeCell ref="Q140:Q141"/>
    <mergeCell ref="P134:P135"/>
    <mergeCell ref="Q134:Q135"/>
    <mergeCell ref="P136:P137"/>
    <mergeCell ref="Q136:Q137"/>
    <mergeCell ref="P130:P131"/>
    <mergeCell ref="Q130:Q131"/>
    <mergeCell ref="P132:P133"/>
  </mergeCells>
  <dataValidations count="6">
    <dataValidation type="list" allowBlank="1" showInputMessage="1" showErrorMessage="1" sqref="K30:K45" xr:uid="{00000000-0002-0000-0100-000000000000}">
      <formula1>"CUSTEIO,CAPITAL"</formula1>
    </dataValidation>
    <dataValidation type="list" allowBlank="1" showInputMessage="1" showErrorMessage="1" sqref="K122:K151" xr:uid="{539395B1-ED91-483B-AFA8-1C151B2FC495}">
      <formula1>"CUSTEIO , CAPITAL"</formula1>
    </dataValidation>
    <dataValidation type="decimal" operator="greaterThan" allowBlank="1" showInputMessage="1" showErrorMessage="1" sqref="Q122:Q151 Q67:Q102 Q30:Q45" xr:uid="{D45C7D31-0211-40D9-8454-C924FE18A302}">
      <formula1>0</formula1>
    </dataValidation>
    <dataValidation type="decimal" operator="greaterThanOrEqual" allowBlank="1" showInputMessage="1" showErrorMessage="1" sqref="A22:Q22" xr:uid="{459B4DB6-D2A2-4DA4-88F9-6B65251ABCBC}">
      <formula1>0</formula1>
    </dataValidation>
    <dataValidation type="list" allowBlank="1" showInputMessage="1" showErrorMessage="1" sqref="K67:K102" xr:uid="{E235AFC4-7FAC-440B-9097-A30E62D1E957}">
      <formula1>"CUSTEIO, CAPITAL"</formula1>
    </dataValidation>
    <dataValidation operator="greaterThanOrEqual" allowBlank="1" showInputMessage="1" showErrorMessage="1" sqref="A25:N25" xr:uid="{48C4344D-7DBB-4583-84E2-B465F8C89922}"/>
  </dataValidations>
  <pageMargins left="0.511811024" right="0.511811024" top="0.78740157499999996" bottom="0.78740157499999996" header="0.31496062000000002" footer="0.31496062000000002"/>
  <pageSetup paperSize="9" scale="56" fitToHeight="0" orientation="landscape" r:id="rId1"/>
  <colBreaks count="1" manualBreakCount="1">
    <brk id="17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4"/>
  <sheetViews>
    <sheetView showGridLines="0" view="pageBreakPreview" topLeftCell="A12" zoomScale="112" zoomScaleNormal="100" zoomScaleSheetLayoutView="112" workbookViewId="0">
      <selection activeCell="I18" sqref="I18"/>
    </sheetView>
  </sheetViews>
  <sheetFormatPr defaultRowHeight="14.5" x14ac:dyDescent="0.35"/>
  <cols>
    <col min="1" max="1" width="14" customWidth="1"/>
    <col min="2" max="2" width="15.90625" customWidth="1"/>
    <col min="3" max="3" width="14.453125" customWidth="1"/>
    <col min="4" max="4" width="28.54296875" customWidth="1"/>
    <col min="5" max="5" width="11.08984375" customWidth="1"/>
    <col min="6" max="6" width="22.6328125" customWidth="1"/>
    <col min="7" max="7" width="19.08984375" customWidth="1"/>
    <col min="8" max="8" width="17.453125" customWidth="1"/>
  </cols>
  <sheetData>
    <row r="1" spans="1:8" ht="24" customHeight="1" x14ac:dyDescent="0.35">
      <c r="A1" s="68"/>
      <c r="B1" s="68"/>
      <c r="C1" s="68"/>
      <c r="D1" s="68"/>
      <c r="E1" s="68"/>
      <c r="F1" s="68"/>
      <c r="G1" s="68"/>
      <c r="H1" s="68"/>
    </row>
    <row r="2" spans="1:8" ht="46.5" customHeight="1" x14ac:dyDescent="0.35">
      <c r="A2" s="182" t="s">
        <v>121</v>
      </c>
      <c r="B2" s="182"/>
      <c r="C2" s="182"/>
      <c r="D2" s="182"/>
      <c r="E2" s="182"/>
      <c r="F2" s="182"/>
      <c r="G2" s="182"/>
      <c r="H2" s="182"/>
    </row>
    <row r="3" spans="1:8" ht="17.25" customHeight="1" x14ac:dyDescent="0.35">
      <c r="A3" s="183" t="s">
        <v>122</v>
      </c>
      <c r="B3" s="184"/>
      <c r="C3" s="184"/>
      <c r="D3" s="184"/>
      <c r="E3" s="184"/>
      <c r="F3" s="184"/>
      <c r="G3" s="184"/>
      <c r="H3" s="185"/>
    </row>
    <row r="4" spans="1:8" x14ac:dyDescent="0.35">
      <c r="A4" s="131" t="s">
        <v>69</v>
      </c>
      <c r="B4" s="132"/>
      <c r="C4" s="132"/>
      <c r="D4" s="132"/>
      <c r="E4" s="132"/>
      <c r="F4" s="132"/>
      <c r="G4" s="132"/>
      <c r="H4" s="133"/>
    </row>
    <row r="5" spans="1:8" x14ac:dyDescent="0.35">
      <c r="A5" s="134" t="s">
        <v>70</v>
      </c>
      <c r="B5" s="135"/>
      <c r="C5" s="135"/>
      <c r="D5" s="135"/>
      <c r="E5" s="135"/>
      <c r="F5" s="135"/>
      <c r="G5" s="145" t="s">
        <v>123</v>
      </c>
      <c r="H5" s="146"/>
    </row>
    <row r="6" spans="1:8" ht="15.5" x14ac:dyDescent="0.35">
      <c r="A6" s="136" t="s">
        <v>124</v>
      </c>
      <c r="B6" s="137"/>
      <c r="C6" s="137"/>
      <c r="D6" s="137"/>
      <c r="E6" s="137"/>
      <c r="F6" s="137"/>
      <c r="G6" s="147">
        <v>2026</v>
      </c>
      <c r="H6" s="148"/>
    </row>
    <row r="7" spans="1:8" ht="20.25" customHeight="1" x14ac:dyDescent="0.35">
      <c r="A7" s="138" t="s">
        <v>73</v>
      </c>
      <c r="B7" s="139"/>
      <c r="C7" s="139"/>
      <c r="D7" s="139"/>
      <c r="E7" s="139"/>
      <c r="F7" s="139"/>
      <c r="G7" s="139" t="s">
        <v>74</v>
      </c>
      <c r="H7" s="140"/>
    </row>
    <row r="8" spans="1:8" ht="15.5" x14ac:dyDescent="0.35">
      <c r="A8" s="93" t="str">
        <f>MEMORIA!A2</f>
        <v>CEC DO/A</v>
      </c>
      <c r="B8" s="202" t="str">
        <f>MEMORIA!B2</f>
        <v>EDI CÔNEGO FERNANDES PINHEIRO</v>
      </c>
      <c r="C8" s="202"/>
      <c r="D8" s="202"/>
      <c r="E8" s="202"/>
      <c r="F8" s="203"/>
      <c r="G8" s="149">
        <f>MEMORIA!B3</f>
        <v>1294812000150</v>
      </c>
      <c r="H8" s="150"/>
    </row>
    <row r="9" spans="1:8" ht="14.4" customHeight="1" x14ac:dyDescent="0.35">
      <c r="A9" s="138" t="s">
        <v>75</v>
      </c>
      <c r="B9" s="139"/>
      <c r="C9" s="139"/>
      <c r="D9" s="139"/>
      <c r="E9" s="139"/>
      <c r="F9" s="143" t="s">
        <v>125</v>
      </c>
      <c r="G9" s="143"/>
      <c r="H9" s="144" t="s">
        <v>126</v>
      </c>
    </row>
    <row r="10" spans="1:8" ht="17" customHeight="1" x14ac:dyDescent="0.35">
      <c r="A10" s="141" t="str">
        <f>Demonstrativo!A16</f>
        <v>RUA SEBASTIAN BACH S/Nº , JARDIM AMÉRICA - CEP: 21240370</v>
      </c>
      <c r="B10" s="142"/>
      <c r="C10" s="142"/>
      <c r="D10" s="142"/>
      <c r="E10" s="142"/>
      <c r="F10" s="143"/>
      <c r="G10" s="143"/>
      <c r="H10" s="144"/>
    </row>
    <row r="11" spans="1:8" ht="8.25" customHeight="1" x14ac:dyDescent="0.35">
      <c r="A11" s="192"/>
      <c r="B11" s="193"/>
      <c r="C11" s="193"/>
      <c r="D11" s="193"/>
      <c r="E11" s="193"/>
      <c r="F11" s="193"/>
      <c r="G11" s="193"/>
      <c r="H11" s="194"/>
    </row>
    <row r="12" spans="1:8" x14ac:dyDescent="0.35">
      <c r="A12" s="195" t="s">
        <v>127</v>
      </c>
      <c r="B12" s="196"/>
      <c r="C12" s="196"/>
      <c r="D12" s="196"/>
      <c r="E12" s="196"/>
      <c r="F12" s="196"/>
      <c r="G12" s="196"/>
      <c r="H12" s="197"/>
    </row>
    <row r="13" spans="1:8" ht="15" customHeight="1" x14ac:dyDescent="0.35">
      <c r="A13" s="94" t="s">
        <v>128</v>
      </c>
      <c r="B13" s="95" t="s">
        <v>129</v>
      </c>
      <c r="C13" s="208" t="s">
        <v>130</v>
      </c>
      <c r="D13" s="209"/>
      <c r="E13" s="210"/>
      <c r="F13" s="198" t="s">
        <v>131</v>
      </c>
      <c r="G13" s="198"/>
      <c r="H13" s="199"/>
    </row>
    <row r="14" spans="1:8" x14ac:dyDescent="0.35">
      <c r="A14" s="206">
        <v>1</v>
      </c>
      <c r="B14" s="207">
        <f>MEMORIA!B6</f>
        <v>497</v>
      </c>
      <c r="C14" s="154">
        <f>MEMORIA!F6</f>
        <v>415367</v>
      </c>
      <c r="D14" s="155"/>
      <c r="E14" s="156"/>
      <c r="F14" s="96" t="s">
        <v>132</v>
      </c>
      <c r="G14" s="200" t="s">
        <v>133</v>
      </c>
      <c r="H14" s="201"/>
    </row>
    <row r="15" spans="1:8" x14ac:dyDescent="0.35">
      <c r="A15" s="206"/>
      <c r="B15" s="207"/>
      <c r="C15" s="157"/>
      <c r="D15" s="158"/>
      <c r="E15" s="159"/>
      <c r="F15" s="97"/>
      <c r="G15" s="204">
        <f>MEMORIA!G47</f>
        <v>0</v>
      </c>
      <c r="H15" s="205"/>
    </row>
    <row r="16" spans="1:8" x14ac:dyDescent="0.35">
      <c r="A16" s="151" t="s">
        <v>134</v>
      </c>
      <c r="B16" s="152"/>
      <c r="C16" s="152"/>
      <c r="D16" s="152"/>
      <c r="E16" s="152"/>
      <c r="F16" s="152"/>
      <c r="G16" s="152"/>
      <c r="H16" s="153"/>
    </row>
    <row r="17" spans="1:8" x14ac:dyDescent="0.35">
      <c r="A17" s="181"/>
      <c r="B17" s="127"/>
      <c r="C17" s="127"/>
      <c r="D17" s="127"/>
      <c r="E17" s="127"/>
      <c r="F17" s="57"/>
      <c r="G17" s="57"/>
      <c r="H17" s="58"/>
    </row>
    <row r="18" spans="1:8" x14ac:dyDescent="0.35">
      <c r="A18" s="128" t="s">
        <v>135</v>
      </c>
      <c r="B18" s="129"/>
      <c r="C18" s="129"/>
      <c r="D18" s="130" t="s">
        <v>136</v>
      </c>
      <c r="E18" s="130"/>
      <c r="F18" s="130" t="s">
        <v>137</v>
      </c>
      <c r="G18" s="130"/>
      <c r="H18" s="211" t="s">
        <v>138</v>
      </c>
    </row>
    <row r="19" spans="1:8" x14ac:dyDescent="0.35">
      <c r="A19" s="190" t="s">
        <v>139</v>
      </c>
      <c r="B19" s="191"/>
      <c r="C19" s="1" t="s">
        <v>140</v>
      </c>
      <c r="D19" s="1" t="s">
        <v>139</v>
      </c>
      <c r="E19" s="1" t="s">
        <v>140</v>
      </c>
      <c r="F19" s="1" t="s">
        <v>139</v>
      </c>
      <c r="G19" s="1" t="s">
        <v>140</v>
      </c>
      <c r="H19" s="211"/>
    </row>
    <row r="20" spans="1:8" x14ac:dyDescent="0.35">
      <c r="A20" s="162"/>
      <c r="B20" s="163"/>
      <c r="C20" s="168"/>
      <c r="D20" s="168"/>
      <c r="E20" s="168"/>
      <c r="F20" s="168"/>
      <c r="G20" s="168"/>
      <c r="H20" s="178">
        <f>(G15+C20)-(E20-G20)</f>
        <v>0</v>
      </c>
    </row>
    <row r="21" spans="1:8" x14ac:dyDescent="0.35">
      <c r="A21" s="164"/>
      <c r="B21" s="165"/>
      <c r="C21" s="169"/>
      <c r="D21" s="169"/>
      <c r="E21" s="169"/>
      <c r="F21" s="169"/>
      <c r="G21" s="169"/>
      <c r="H21" s="179"/>
    </row>
    <row r="22" spans="1:8" x14ac:dyDescent="0.35">
      <c r="A22" s="164"/>
      <c r="B22" s="165"/>
      <c r="C22" s="169"/>
      <c r="D22" s="169"/>
      <c r="E22" s="169"/>
      <c r="F22" s="169"/>
      <c r="G22" s="169"/>
      <c r="H22" s="179"/>
    </row>
    <row r="23" spans="1:8" x14ac:dyDescent="0.35">
      <c r="A23" s="164"/>
      <c r="B23" s="165"/>
      <c r="C23" s="169"/>
      <c r="D23" s="169"/>
      <c r="E23" s="169"/>
      <c r="F23" s="169"/>
      <c r="G23" s="169"/>
      <c r="H23" s="179"/>
    </row>
    <row r="24" spans="1:8" x14ac:dyDescent="0.35">
      <c r="A24" s="164"/>
      <c r="B24" s="165"/>
      <c r="C24" s="169"/>
      <c r="D24" s="169"/>
      <c r="E24" s="169"/>
      <c r="F24" s="169"/>
      <c r="G24" s="169"/>
      <c r="H24" s="179"/>
    </row>
    <row r="25" spans="1:8" x14ac:dyDescent="0.35">
      <c r="A25" s="164"/>
      <c r="B25" s="165"/>
      <c r="C25" s="169"/>
      <c r="D25" s="169"/>
      <c r="E25" s="169"/>
      <c r="F25" s="169"/>
      <c r="G25" s="169"/>
      <c r="H25" s="179"/>
    </row>
    <row r="26" spans="1:8" x14ac:dyDescent="0.35">
      <c r="A26" s="164"/>
      <c r="B26" s="165"/>
      <c r="C26" s="169"/>
      <c r="D26" s="169"/>
      <c r="E26" s="169"/>
      <c r="F26" s="169"/>
      <c r="G26" s="169"/>
      <c r="H26" s="179"/>
    </row>
    <row r="27" spans="1:8" x14ac:dyDescent="0.35">
      <c r="A27" s="164"/>
      <c r="B27" s="165"/>
      <c r="C27" s="169"/>
      <c r="D27" s="169"/>
      <c r="E27" s="169"/>
      <c r="F27" s="169"/>
      <c r="G27" s="169"/>
      <c r="H27" s="179"/>
    </row>
    <row r="28" spans="1:8" x14ac:dyDescent="0.35">
      <c r="A28" s="164"/>
      <c r="B28" s="165"/>
      <c r="C28" s="169"/>
      <c r="D28" s="169"/>
      <c r="E28" s="169"/>
      <c r="F28" s="169"/>
      <c r="G28" s="169"/>
      <c r="H28" s="179"/>
    </row>
    <row r="29" spans="1:8" x14ac:dyDescent="0.35">
      <c r="A29" s="166"/>
      <c r="B29" s="167"/>
      <c r="C29" s="170"/>
      <c r="D29" s="170"/>
      <c r="E29" s="170"/>
      <c r="F29" s="170"/>
      <c r="G29" s="170"/>
      <c r="H29" s="180"/>
    </row>
    <row r="30" spans="1:8" x14ac:dyDescent="0.35">
      <c r="A30" s="171" t="s">
        <v>141</v>
      </c>
      <c r="B30" s="172"/>
      <c r="C30" s="186"/>
      <c r="D30" s="24"/>
      <c r="E30" s="25"/>
      <c r="F30" s="26"/>
      <c r="G30" s="25"/>
      <c r="H30" s="98">
        <f>H20</f>
        <v>0</v>
      </c>
    </row>
    <row r="31" spans="1:8" ht="8.25" customHeight="1" x14ac:dyDescent="0.35">
      <c r="A31" s="187"/>
      <c r="B31" s="188"/>
      <c r="C31" s="27"/>
      <c r="D31" s="27"/>
      <c r="E31" s="27"/>
      <c r="F31" s="27"/>
      <c r="G31" s="27"/>
      <c r="H31" s="59"/>
    </row>
    <row r="32" spans="1:8" x14ac:dyDescent="0.35">
      <c r="A32" s="171" t="s">
        <v>142</v>
      </c>
      <c r="B32" s="172"/>
      <c r="C32" s="172"/>
      <c r="D32" s="172"/>
      <c r="E32" s="172"/>
      <c r="F32" s="172"/>
      <c r="G32" s="172"/>
      <c r="H32" s="173"/>
    </row>
    <row r="33" spans="1:8" x14ac:dyDescent="0.35">
      <c r="A33" s="189" t="s">
        <v>143</v>
      </c>
      <c r="B33" s="174"/>
      <c r="C33" s="174" t="str">
        <f>MEMORIA!A52</f>
        <v>ODETTE DOS SANTOS SACRAMENTO TERREZO FARDILHA</v>
      </c>
      <c r="D33" s="174"/>
      <c r="E33" s="174"/>
      <c r="F33" s="175"/>
      <c r="G33" s="175"/>
      <c r="H33" s="176"/>
    </row>
    <row r="34" spans="1:8" x14ac:dyDescent="0.35">
      <c r="A34" s="160" t="s">
        <v>113</v>
      </c>
      <c r="B34" s="161"/>
      <c r="C34" s="161" t="s">
        <v>114</v>
      </c>
      <c r="D34" s="161"/>
      <c r="E34" s="161"/>
      <c r="F34" s="161" t="s">
        <v>115</v>
      </c>
      <c r="G34" s="161"/>
      <c r="H34" s="177"/>
    </row>
  </sheetData>
  <mergeCells count="48">
    <mergeCell ref="A2:H2"/>
    <mergeCell ref="A3:H3"/>
    <mergeCell ref="A30:C30"/>
    <mergeCell ref="A31:B31"/>
    <mergeCell ref="A33:B33"/>
    <mergeCell ref="A19:B19"/>
    <mergeCell ref="A11:H11"/>
    <mergeCell ref="A12:H12"/>
    <mergeCell ref="F13:H13"/>
    <mergeCell ref="G14:H14"/>
    <mergeCell ref="B8:F8"/>
    <mergeCell ref="G15:H15"/>
    <mergeCell ref="A14:A15"/>
    <mergeCell ref="B14:B15"/>
    <mergeCell ref="C13:E13"/>
    <mergeCell ref="H18:H19"/>
    <mergeCell ref="A16:H16"/>
    <mergeCell ref="C14:E15"/>
    <mergeCell ref="A34:B34"/>
    <mergeCell ref="A20:B29"/>
    <mergeCell ref="C20:C29"/>
    <mergeCell ref="A32:H32"/>
    <mergeCell ref="C33:E33"/>
    <mergeCell ref="C34:E34"/>
    <mergeCell ref="F33:H33"/>
    <mergeCell ref="F34:H34"/>
    <mergeCell ref="D20:D29"/>
    <mergeCell ref="E20:E29"/>
    <mergeCell ref="F20:F29"/>
    <mergeCell ref="G20:G29"/>
    <mergeCell ref="H20:H29"/>
    <mergeCell ref="A17:C17"/>
    <mergeCell ref="D17:E17"/>
    <mergeCell ref="A18:C18"/>
    <mergeCell ref="D18:E18"/>
    <mergeCell ref="F18:G18"/>
    <mergeCell ref="A4:H4"/>
    <mergeCell ref="A5:F5"/>
    <mergeCell ref="A6:F6"/>
    <mergeCell ref="A7:F7"/>
    <mergeCell ref="G7:H7"/>
    <mergeCell ref="A10:E10"/>
    <mergeCell ref="F9:G10"/>
    <mergeCell ref="H9:H10"/>
    <mergeCell ref="A9:E9"/>
    <mergeCell ref="G5:H5"/>
    <mergeCell ref="G6:H6"/>
    <mergeCell ref="G8:H8"/>
  </mergeCells>
  <pageMargins left="0.511811024" right="0.511811024" top="0.78740157499999996" bottom="0.78740157499999996" header="0.31496062000000002" footer="0.31496062000000002"/>
  <pageSetup paperSize="9" scale="8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e69a68f-7d30-4ab5-a8a8-b72b736d2d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2663A65EBB624FBBE9C44F23627E98" ma:contentTypeVersion="15" ma:contentTypeDescription="Create a new document." ma:contentTypeScope="" ma:versionID="0d83ae6e31e8f7e14927e7f60d2a779b">
  <xsd:schema xmlns:xsd="http://www.w3.org/2001/XMLSchema" xmlns:xs="http://www.w3.org/2001/XMLSchema" xmlns:p="http://schemas.microsoft.com/office/2006/metadata/properties" xmlns:ns3="4e69a68f-7d30-4ab5-a8a8-b72b736d2dd8" xmlns:ns4="dfa4d609-8319-420a-be6c-3028c90e6c7b" targetNamespace="http://schemas.microsoft.com/office/2006/metadata/properties" ma:root="true" ma:fieldsID="af7a32ca1e2ef1d3e038feda31e4889f" ns3:_="" ns4:_="">
    <xsd:import namespace="4e69a68f-7d30-4ab5-a8a8-b72b736d2dd8"/>
    <xsd:import namespace="dfa4d609-8319-420a-be6c-3028c90e6c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69a68f-7d30-4ab5-a8a8-b72b736d2d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4d609-8319-420a-be6c-3028c90e6c7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1C6E07-0732-4F79-9A80-A996FA8DD432}">
  <ds:schemaRefs>
    <ds:schemaRef ds:uri="http://schemas.microsoft.com/office/2006/metadata/properties"/>
    <ds:schemaRef ds:uri="http://schemas.microsoft.com/office/infopath/2007/PartnerControls"/>
    <ds:schemaRef ds:uri="4e69a68f-7d30-4ab5-a8a8-b72b736d2dd8"/>
  </ds:schemaRefs>
</ds:datastoreItem>
</file>

<file path=customXml/itemProps2.xml><?xml version="1.0" encoding="utf-8"?>
<ds:datastoreItem xmlns:ds="http://schemas.openxmlformats.org/officeDocument/2006/customXml" ds:itemID="{8EE15F76-E593-4B66-973F-D567AF8D6E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69a68f-7d30-4ab5-a8a8-b72b736d2dd8"/>
    <ds:schemaRef ds:uri="dfa4d609-8319-420a-be6c-3028c90e6c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0F1CA7-E92A-4847-9D95-B0B9457BB8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BASE</vt:lpstr>
      <vt:lpstr>MEMORIA</vt:lpstr>
      <vt:lpstr>Demonstrativo</vt:lpstr>
      <vt:lpstr>Conciliação Bancária</vt:lpstr>
      <vt:lpstr>MEMORIA!Area_de_impressao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Lilian de Oliveria Motta</dc:creator>
  <cp:keywords/>
  <dc:description/>
  <cp:lastModifiedBy>Wilson Malafaia Peixoto</cp:lastModifiedBy>
  <cp:revision/>
  <dcterms:created xsi:type="dcterms:W3CDTF">2021-10-20T18:17:30Z</dcterms:created>
  <dcterms:modified xsi:type="dcterms:W3CDTF">2026-04-25T00:54:37Z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0x010100142663A65EBB624FBBE9C44F23627E98</vt:lpwstr>
  </property>
</Properties>
</file>